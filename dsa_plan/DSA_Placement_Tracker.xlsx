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oblem Tracker" sheetId="2" state="visible" r:id="rId4"/>
    <sheet name="Weekly Plan" sheetId="3" state="visible" r:id="rId5"/>
    <sheet name="Progress" sheetId="4" state="visible" r:id="rId6"/>
    <sheet name="Error Log" sheetId="5" state="visible" r:id="rId7"/>
    <sheet name="Weekly Mocks" sheetId="6" state="visible" r:id="rId8"/>
  </sheets>
  <definedNames>
    <definedName function="false" hidden="true" localSheetId="1" name="_xlnm._FilterDatabase" vbProcedure="false">'Problem Tracker'!$A$1:$Q$181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<sst xmlns="http://schemas.openxmlformats.org/spreadsheetml/2006/main" count="1395" uniqueCount="356">
  <si>
    <t xml:space="preserve">DSA Placement Tracker: 10 weeks, 180 problems</t>
  </si>
  <si>
    <t xml:space="preserve">What this is</t>
  </si>
  <si>
    <t xml:space="preserve">A learning-order list of 180 LeetCode-style problems (162 core + a few stretch ones, plus 18 mixed timed problems in week 10). Each day has 3 problems on one pattern. Use it with the morning lesson: learn the pattern in the morning, solve the problems in the evening.</t>
  </si>
  <si>
    <t xml:space="preserve">Where to start</t>
  </si>
  <si>
    <t xml:space="preserve">Day 1 is on the 'Problem Tracker' tab. Set your start date on the 'Progress' tab (yellow cell) and every row gets its target date.</t>
  </si>
  <si>
    <t xml:space="preserve">Daily routine</t>
  </si>
  <si>
    <t xml:space="preserve">1) Read the problem and restate it. 2) Write 2-3 examples including a tricky one. 3) Solve by hand. 4) Write the steps in plain English. 5) Code in C++. 6) Dry run on paper. 7) Submit. Spend 20-30 minutes before asking for a hint.</t>
  </si>
  <si>
    <t xml:space="preserve">Time limits (beginner)</t>
  </si>
  <si>
    <t xml:space="preserve">Easy: 20-30 min before hint. Medium: 40-45 min. Hard / Stretch: skip until weeks 9-10 if time is short.</t>
  </si>
  <si>
    <t xml:space="preserve">Status column</t>
  </si>
  <si>
    <t xml:space="preserve">Not started / Attempted / Solved / Needs revisit. Mark 'Needs revisit' if you needed a hint or got it wrong; redo it 3-4 days later without looking.</t>
  </si>
  <si>
    <t xml:space="preserve">Hint needed?</t>
  </si>
  <si>
    <t xml:space="preserve">Fill Yes or No. The Progress tab counts problems solved without a hint, which is the real measure.</t>
  </si>
  <si>
    <t xml:space="preserve">Core vs Stretch</t>
  </si>
  <si>
    <t xml:space="preserve">Core problems come first. Stretch problems are harder; do them only after the core ones of that week.</t>
  </si>
  <si>
    <t xml:space="preserve">Colour code</t>
  </si>
  <si>
    <t xml:space="preserve">Yellow cell = input you should edit. Blue text = values you type. Black = formulas. Difficulty colours: green Easy, orange Medium, red Hard.</t>
  </si>
  <si>
    <t xml:space="preserve">Example of a filled row</t>
  </si>
  <si>
    <t xml:space="preserve">Status: Solved | Date solved: 31-Oct-2026 | Minutes: 25 | Hint needed?: No | Notes: 'one pass, keep two variables'.</t>
  </si>
  <si>
    <t xml:space="preserve">Error Log tab</t>
  </si>
  <si>
    <t xml:space="preserve">After every wrong or hinted problem, write what you tried, why it failed, the fix and the clue that should have told you the pattern.</t>
  </si>
  <si>
    <t xml:space="preserve">Weekly Mocks tab</t>
  </si>
  <si>
    <t xml:space="preserve">Day 7 of each week is a timed mock (60-90 min). Log the result there.</t>
  </si>
  <si>
    <t xml:space="preserve">Source and caveats</t>
  </si>
  <si>
    <t xml:space="preserve">Problems are a selection from well-known interview lists. The 'Also in Curious Freaks sheet' column links to that public sheet's own problem when its link is a matching LeetCode URL. Problem numbers, difficulty labels and links were entered from memory: if a link is wrong or a label differs, trust LeetCode. A few problems may change difficulty labels over time.</t>
  </si>
  <si>
    <t xml:space="preserve">Honest note</t>
  </si>
  <si>
    <t xml:space="preserve">10 weeks is tight. This plan aims for placement readiness (easy to medium problems), not mastery. Do not skip the weekly mocks or the revisits.</t>
  </si>
  <si>
    <t xml:space="preserve">#</t>
  </si>
  <si>
    <t xml:space="preserve">Week</t>
  </si>
  <si>
    <t xml:space="preserve">Day</t>
  </si>
  <si>
    <t xml:space="preserve">Pattern</t>
  </si>
  <si>
    <t xml:space="preserve">Problem</t>
  </si>
  <si>
    <t xml:space="preserve">LeetCode #</t>
  </si>
  <si>
    <t xml:space="preserve">Difficulty</t>
  </si>
  <si>
    <t xml:space="preserve">Level</t>
  </si>
  <si>
    <t xml:space="preserve">LeetCode link</t>
  </si>
  <si>
    <t xml:space="preserve">Also in Curious Freaks sheet</t>
  </si>
  <si>
    <t xml:space="preserve">Target date</t>
  </si>
  <si>
    <t xml:space="preserve">Status</t>
  </si>
  <si>
    <t xml:space="preserve">Date solved</t>
  </si>
  <si>
    <t xml:space="preserve">Minutes taken</t>
  </si>
  <si>
    <t xml:space="preserve">Revisit on</t>
  </si>
  <si>
    <t xml:space="preserve">Notes / clue that revealed the pattern</t>
  </si>
  <si>
    <t xml:space="preserve">Tracking biggest / smallest</t>
  </si>
  <si>
    <t xml:space="preserve">Find the largest and smallest element in an array</t>
  </si>
  <si>
    <t xml:space="preserve">-</t>
  </si>
  <si>
    <t xml:space="preserve">Easy</t>
  </si>
  <si>
    <t xml:space="preserve">Core</t>
  </si>
  <si>
    <t xml:space="preserve">Practise on GFG</t>
  </si>
  <si>
    <t xml:space="preserve">Open</t>
  </si>
  <si>
    <t xml:space="preserve">Not started</t>
  </si>
  <si>
    <t xml:space="preserve">Find the second largest and second smallest element</t>
  </si>
  <si>
    <t xml:space="preserve">Third Maximum Number</t>
  </si>
  <si>
    <t xml:space="preserve">Array operations</t>
  </si>
  <si>
    <t xml:space="preserve">Check if Array Is Sorted and Rotated</t>
  </si>
  <si>
    <t xml:space="preserve">Reverse String</t>
  </si>
  <si>
    <t xml:space="preserve">Move Zeroes</t>
  </si>
  <si>
    <t xml:space="preserve">Array practice</t>
  </si>
  <si>
    <t xml:space="preserve">Rotate Array</t>
  </si>
  <si>
    <t xml:space="preserve">Medium</t>
  </si>
  <si>
    <t xml:space="preserve">Running Sum of 1d Array</t>
  </si>
  <si>
    <t xml:space="preserve">Richest Customer Wealth</t>
  </si>
  <si>
    <t xml:space="preserve">Strings</t>
  </si>
  <si>
    <t xml:space="preserve">Valid Palindrome</t>
  </si>
  <si>
    <t xml:space="preserve">Longest Common Prefix</t>
  </si>
  <si>
    <t xml:space="preserve">Merge Strings Alternately</t>
  </si>
  <si>
    <t xml:space="preserve">Frequency counting</t>
  </si>
  <si>
    <t xml:space="preserve">Valid Anagram</t>
  </si>
  <si>
    <t xml:space="preserve">First Unique Character in a String</t>
  </si>
  <si>
    <t xml:space="preserve">Ransom Note</t>
  </si>
  <si>
    <t xml:space="preserve">Counting and prefix idea</t>
  </si>
  <si>
    <t xml:space="preserve">Missing Number</t>
  </si>
  <si>
    <t xml:space="preserve">Single Number</t>
  </si>
  <si>
    <t xml:space="preserve">Find Pivot Index</t>
  </si>
  <si>
    <t xml:space="preserve">Hash set / hash map basics</t>
  </si>
  <si>
    <t xml:space="preserve">Contains Duplicate</t>
  </si>
  <si>
    <t xml:space="preserve">Two Sum</t>
  </si>
  <si>
    <t xml:space="preserve">Intersection of Two Arrays</t>
  </si>
  <si>
    <t xml:space="preserve">Hash map matching</t>
  </si>
  <si>
    <t xml:space="preserve">Isomorphic Strings</t>
  </si>
  <si>
    <t xml:space="preserve">Word Pattern</t>
  </si>
  <si>
    <t xml:space="preserve">Majority Element</t>
  </si>
  <si>
    <t xml:space="preserve">Hashing: grouping and counting</t>
  </si>
  <si>
    <t xml:space="preserve">Group Anagrams</t>
  </si>
  <si>
    <t xml:space="preserve">Happy Number</t>
  </si>
  <si>
    <t xml:space="preserve">Top K Frequent Elements</t>
  </si>
  <si>
    <t xml:space="preserve">Kadane and prefix sums</t>
  </si>
  <si>
    <t xml:space="preserve">Maximum Subarray</t>
  </si>
  <si>
    <t xml:space="preserve">Best Time to Buy and Sell Stock</t>
  </si>
  <si>
    <t xml:space="preserve">Subarray Sum Equals K</t>
  </si>
  <si>
    <t xml:space="preserve">Arrays in place</t>
  </si>
  <si>
    <t xml:space="preserve">Product of Array Except Self</t>
  </si>
  <si>
    <t xml:space="preserve">Longest Consecutive Sequence</t>
  </si>
  <si>
    <t xml:space="preserve">Merge Sorted Array</t>
  </si>
  <si>
    <t xml:space="preserve">Sorting and de-duplication</t>
  </si>
  <si>
    <t xml:space="preserve">Sort Colors</t>
  </si>
  <si>
    <t xml:space="preserve">Remove Duplicates from Sorted Array</t>
  </si>
  <si>
    <t xml:space="preserve">Remove Element</t>
  </si>
  <si>
    <t xml:space="preserve">Two pointers (converging)</t>
  </si>
  <si>
    <t xml:space="preserve">Two Sum II - Input Array Is Sorted</t>
  </si>
  <si>
    <t xml:space="preserve">Squares of a Sorted Array</t>
  </si>
  <si>
    <t xml:space="preserve">Valid Palindrome II</t>
  </si>
  <si>
    <t xml:space="preserve">Two pointers (more)</t>
  </si>
  <si>
    <t xml:space="preserve">3Sum</t>
  </si>
  <si>
    <t xml:space="preserve">Container With Most Water</t>
  </si>
  <si>
    <t xml:space="preserve">3Sum Closest</t>
  </si>
  <si>
    <t xml:space="preserve">Stretch</t>
  </si>
  <si>
    <t xml:space="preserve">Sliding window (fixed size)</t>
  </si>
  <si>
    <t xml:space="preserve">Maximum Average Subarray I</t>
  </si>
  <si>
    <t xml:space="preserve">Find All Anagrams in a String</t>
  </si>
  <si>
    <t xml:space="preserve">Permutation in String</t>
  </si>
  <si>
    <t xml:space="preserve">Sliding window (variable size)</t>
  </si>
  <si>
    <t xml:space="preserve">Longest Substring Without Repeating Characters</t>
  </si>
  <si>
    <t xml:space="preserve">Minimum Size Subarray Sum</t>
  </si>
  <si>
    <t xml:space="preserve">Longest Repeating Character Replacement</t>
  </si>
  <si>
    <t xml:space="preserve">Sliding window (more)</t>
  </si>
  <si>
    <t xml:space="preserve">Max Consecutive Ones III</t>
  </si>
  <si>
    <t xml:space="preserve">Fruit Into Baskets</t>
  </si>
  <si>
    <t xml:space="preserve">Minimum Window Substring</t>
  </si>
  <si>
    <t xml:space="preserve">Hard</t>
  </si>
  <si>
    <t xml:space="preserve">Mixed: pointers and window</t>
  </si>
  <si>
    <t xml:space="preserve">Boats to Save People</t>
  </si>
  <si>
    <t xml:space="preserve">Maximum Number of Vowels in a Substring of Given Length</t>
  </si>
  <si>
    <t xml:space="preserve">Trapping Rain Water</t>
  </si>
  <si>
    <t xml:space="preserve">Binary search basics</t>
  </si>
  <si>
    <t xml:space="preserve">Binary Search</t>
  </si>
  <si>
    <t xml:space="preserve">Search Insert Position</t>
  </si>
  <si>
    <t xml:space="preserve">First Bad Version</t>
  </si>
  <si>
    <t xml:space="preserve">Binary search (variations)</t>
  </si>
  <si>
    <t xml:space="preserve">Sqrt(x)</t>
  </si>
  <si>
    <t xml:space="preserve">Search in Rotated Sorted Array</t>
  </si>
  <si>
    <t xml:space="preserve">Find First and Last Position of Element in Sorted Array</t>
  </si>
  <si>
    <t xml:space="preserve">Binary search (answer space)</t>
  </si>
  <si>
    <t xml:space="preserve">Find Minimum in Rotated Sorted Array</t>
  </si>
  <si>
    <t xml:space="preserve">Peak Index in a Mountain Array</t>
  </si>
  <si>
    <t xml:space="preserve">Koko Eating Bananas</t>
  </si>
  <si>
    <t xml:space="preserve">Stack</t>
  </si>
  <si>
    <t xml:space="preserve">Valid Parentheses</t>
  </si>
  <si>
    <t xml:space="preserve">Min Stack</t>
  </si>
  <si>
    <t xml:space="preserve">Baseball Game</t>
  </si>
  <si>
    <t xml:space="preserve">Monotonic stack</t>
  </si>
  <si>
    <t xml:space="preserve">Next Greater Element I</t>
  </si>
  <si>
    <t xml:space="preserve">Daily Temperatures</t>
  </si>
  <si>
    <t xml:space="preserve">Evaluate Reverse Polish Notation</t>
  </si>
  <si>
    <t xml:space="preserve">Queue</t>
  </si>
  <si>
    <t xml:space="preserve">Implement Queue using Stacks</t>
  </si>
  <si>
    <t xml:space="preserve">Implement Stack using Queues</t>
  </si>
  <si>
    <t xml:space="preserve">Number of Recent Calls</t>
  </si>
  <si>
    <t xml:space="preserve">Linked list basics</t>
  </si>
  <si>
    <t xml:space="preserve">Reverse Linked List</t>
  </si>
  <si>
    <t xml:space="preserve">Middle of the Linked List</t>
  </si>
  <si>
    <t xml:space="preserve">Remove Linked List Elements</t>
  </si>
  <si>
    <t xml:space="preserve">Linked list: pointers</t>
  </si>
  <si>
    <t xml:space="preserve">Linked List Cycle</t>
  </si>
  <si>
    <t xml:space="preserve">Merge Two Sorted Lists</t>
  </si>
  <si>
    <t xml:space="preserve">Palindrome Linked List</t>
  </si>
  <si>
    <t xml:space="preserve">Linked list: two pointers</t>
  </si>
  <si>
    <t xml:space="preserve">Remove Nth Node From End of List</t>
  </si>
  <si>
    <t xml:space="preserve">Intersection of Two Linked Lists</t>
  </si>
  <si>
    <t xml:space="preserve">Delete the Middle Node of a Linked List</t>
  </si>
  <si>
    <t xml:space="preserve">Linked list: practice</t>
  </si>
  <si>
    <t xml:space="preserve">Add Two Numbers</t>
  </si>
  <si>
    <t xml:space="preserve">Reorder List</t>
  </si>
  <si>
    <t xml:space="preserve">Remove Duplicates from Sorted List</t>
  </si>
  <si>
    <t xml:space="preserve">Recursion basics</t>
  </si>
  <si>
    <t xml:space="preserve">Fibonacci Number</t>
  </si>
  <si>
    <t xml:space="preserve">Power of Two</t>
  </si>
  <si>
    <t xml:space="preserve">Pow(x, n)</t>
  </si>
  <si>
    <t xml:space="preserve">Recursion bridge</t>
  </si>
  <si>
    <t xml:space="preserve">Climbing Stairs</t>
  </si>
  <si>
    <t xml:space="preserve">Sort an Array</t>
  </si>
  <si>
    <t xml:space="preserve">Find the Duplicate Number</t>
  </si>
  <si>
    <t xml:space="preserve">Tree traversals</t>
  </si>
  <si>
    <t xml:space="preserve">Binary Tree Inorder Traversal</t>
  </si>
  <si>
    <t xml:space="preserve">Binary Tree Preorder Traversal</t>
  </si>
  <si>
    <t xml:space="preserve">Binary Tree Postorder Traversal</t>
  </si>
  <si>
    <t xml:space="preserve">Tree recursion</t>
  </si>
  <si>
    <t xml:space="preserve">Maximum Depth of Binary Tree</t>
  </si>
  <si>
    <t xml:space="preserve">Invert Binary Tree</t>
  </si>
  <si>
    <t xml:space="preserve">Same Tree</t>
  </si>
  <si>
    <t xml:space="preserve">Tree recursion (more)</t>
  </si>
  <si>
    <t xml:space="preserve">Symmetric Tree</t>
  </si>
  <si>
    <t xml:space="preserve">Path Sum</t>
  </si>
  <si>
    <t xml:space="preserve">Diameter of Binary Tree</t>
  </si>
  <si>
    <t xml:space="preserve">BFS on trees</t>
  </si>
  <si>
    <t xml:space="preserve">Binary Tree Level Order Traversal</t>
  </si>
  <si>
    <t xml:space="preserve">Binary Tree Right Side View</t>
  </si>
  <si>
    <t xml:space="preserve">Minimum Depth of Binary Tree</t>
  </si>
  <si>
    <t xml:space="preserve">Backtracking</t>
  </si>
  <si>
    <t xml:space="preserve">Subsets</t>
  </si>
  <si>
    <t xml:space="preserve">Permutations</t>
  </si>
  <si>
    <t xml:space="preserve">Combination Sum</t>
  </si>
  <si>
    <t xml:space="preserve">Backtracking (more)</t>
  </si>
  <si>
    <t xml:space="preserve">Letter Combinations of a Phone Number</t>
  </si>
  <si>
    <t xml:space="preserve">Palindrome Partitioning</t>
  </si>
  <si>
    <t xml:space="preserve">Generate Parentheses</t>
  </si>
  <si>
    <t xml:space="preserve">Binary search trees</t>
  </si>
  <si>
    <t xml:space="preserve">Validate Binary Search Tree</t>
  </si>
  <si>
    <t xml:space="preserve">Search in a Binary Search Tree</t>
  </si>
  <si>
    <t xml:space="preserve">Insert into a Binary Search Tree</t>
  </si>
  <si>
    <t xml:space="preserve">Trees: ancestors</t>
  </si>
  <si>
    <t xml:space="preserve">Lowest Common Ancestor of a Binary Search Tree</t>
  </si>
  <si>
    <t xml:space="preserve">Lowest Common Ancestor of a Binary Tree</t>
  </si>
  <si>
    <t xml:space="preserve">Kth Smallest Element in a BST</t>
  </si>
  <si>
    <t xml:space="preserve">Trees: construction and checks</t>
  </si>
  <si>
    <t xml:space="preserve">Convert Sorted Array to Binary Search Tree</t>
  </si>
  <si>
    <t xml:space="preserve">Balanced Binary Tree</t>
  </si>
  <si>
    <t xml:space="preserve">Subtree of Another Tree</t>
  </si>
  <si>
    <t xml:space="preserve">Heaps</t>
  </si>
  <si>
    <t xml:space="preserve">Kth Largest Element in an Array</t>
  </si>
  <si>
    <t xml:space="preserve">Last Stone Weight</t>
  </si>
  <si>
    <t xml:space="preserve">Kth Largest Element in a Stream</t>
  </si>
  <si>
    <t xml:space="preserve">Heaps: top K</t>
  </si>
  <si>
    <t xml:space="preserve">K Closest Points to Origin</t>
  </si>
  <si>
    <t xml:space="preserve">Sort Characters By Frequency</t>
  </si>
  <si>
    <t xml:space="preserve">Kth Smallest Element in a Sorted Matrix</t>
  </si>
  <si>
    <t xml:space="preserve">Heaps: practice</t>
  </si>
  <si>
    <t xml:space="preserve">Reorganize String</t>
  </si>
  <si>
    <t xml:space="preserve">Task Scheduler</t>
  </si>
  <si>
    <t xml:space="preserve">Merge k Sorted Lists</t>
  </si>
  <si>
    <t xml:space="preserve">Graphs: grid DFS/BFS</t>
  </si>
  <si>
    <t xml:space="preserve">Flood Fill</t>
  </si>
  <si>
    <t xml:space="preserve">Number of Islands</t>
  </si>
  <si>
    <t xml:space="preserve">Max Area of Island</t>
  </si>
  <si>
    <t xml:space="preserve">Graphs: grid (more)</t>
  </si>
  <si>
    <t xml:space="preserve">Rotting Oranges</t>
  </si>
  <si>
    <t xml:space="preserve">Surrounded Regions</t>
  </si>
  <si>
    <t xml:space="preserve">Island Perimeter</t>
  </si>
  <si>
    <t xml:space="preserve">Graphs: connectivity</t>
  </si>
  <si>
    <t xml:space="preserve">Find if Path Exists in Graph</t>
  </si>
  <si>
    <t xml:space="preserve">Number of Provinces</t>
  </si>
  <si>
    <t xml:space="preserve">Clone Graph</t>
  </si>
  <si>
    <t xml:space="preserve">Graphs: ordering and colouring</t>
  </si>
  <si>
    <t xml:space="preserve">Course Schedule</t>
  </si>
  <si>
    <t xml:space="preserve">Course Schedule II</t>
  </si>
  <si>
    <t xml:space="preserve">Is Graph Bipartite?</t>
  </si>
  <si>
    <t xml:space="preserve">Graphs: shortest paths</t>
  </si>
  <si>
    <t xml:space="preserve">Shortest Path in Binary Matrix</t>
  </si>
  <si>
    <t xml:space="preserve">Network Delay Time</t>
  </si>
  <si>
    <t xml:space="preserve">Word Ladder</t>
  </si>
  <si>
    <t xml:space="preserve">Graphs: Union-Find and multi-source</t>
  </si>
  <si>
    <t xml:space="preserve">Redundant Connection</t>
  </si>
  <si>
    <t xml:space="preserve">Accounts Merge</t>
  </si>
  <si>
    <t xml:space="preserve">Pacific Atlantic Water Flow</t>
  </si>
  <si>
    <t xml:space="preserve">Greedy</t>
  </si>
  <si>
    <t xml:space="preserve">Assign Cookies</t>
  </si>
  <si>
    <t xml:space="preserve">Jump Game</t>
  </si>
  <si>
    <t xml:space="preserve">Best Time to Buy and Sell Stock II</t>
  </si>
  <si>
    <t xml:space="preserve">Greedy (more)</t>
  </si>
  <si>
    <t xml:space="preserve">Gas Station</t>
  </si>
  <si>
    <t xml:space="preserve">Lemonade Change</t>
  </si>
  <si>
    <t xml:space="preserve">Non-overlapping Intervals</t>
  </si>
  <si>
    <t xml:space="preserve">Intervals</t>
  </si>
  <si>
    <t xml:space="preserve">Merge Intervals</t>
  </si>
  <si>
    <t xml:space="preserve">Insert Interval</t>
  </si>
  <si>
    <t xml:space="preserve">Minimum Number of Arrows to Burst Balloons</t>
  </si>
  <si>
    <t xml:space="preserve">Dynamic programming (1D)</t>
  </si>
  <si>
    <t xml:space="preserve">Min Cost Climbing Stairs</t>
  </si>
  <si>
    <t xml:space="preserve">House Robber</t>
  </si>
  <si>
    <t xml:space="preserve">House Robber II</t>
  </si>
  <si>
    <t xml:space="preserve">Dynamic programming (more)</t>
  </si>
  <si>
    <t xml:space="preserve">Coin Change</t>
  </si>
  <si>
    <t xml:space="preserve">Longest Increasing Subsequence</t>
  </si>
  <si>
    <t xml:space="preserve">Unique Paths</t>
  </si>
  <si>
    <t xml:space="preserve">Dynamic programming (2D / subsets)</t>
  </si>
  <si>
    <t xml:space="preserve">Minimum Path Sum</t>
  </si>
  <si>
    <t xml:space="preserve">Longest Common Subsequence</t>
  </si>
  <si>
    <t xml:space="preserve">Partition Equal Subset Sum</t>
  </si>
  <si>
    <t xml:space="preserve">Mixed (timed): matrices</t>
  </si>
  <si>
    <t xml:space="preserve">Valid Sudoku</t>
  </si>
  <si>
    <t xml:space="preserve">Spiral Matrix</t>
  </si>
  <si>
    <t xml:space="preserve">Rotate Image</t>
  </si>
  <si>
    <t xml:space="preserve">Mixed (timed): arrays</t>
  </si>
  <si>
    <t xml:space="preserve">Set Matrix Zeroes</t>
  </si>
  <si>
    <t xml:space="preserve">Next Permutation</t>
  </si>
  <si>
    <t xml:space="preserve">Search a 2D Matrix</t>
  </si>
  <si>
    <t xml:space="preserve">Mixed (timed): strings and DP</t>
  </si>
  <si>
    <t xml:space="preserve">Longest Palindromic Substring</t>
  </si>
  <si>
    <t xml:space="preserve">Palindromic Substrings</t>
  </si>
  <si>
    <t xml:space="preserve">Decode Ways</t>
  </si>
  <si>
    <t xml:space="preserve">Mixed (timed): maths and binary search</t>
  </si>
  <si>
    <t xml:space="preserve">Count Primes</t>
  </si>
  <si>
    <t xml:space="preserve">Find Peak Element</t>
  </si>
  <si>
    <t xml:space="preserve">Partition Labels</t>
  </si>
  <si>
    <t xml:space="preserve">Mixed (timed): trees</t>
  </si>
  <si>
    <t xml:space="preserve">Count Good Nodes in Binary Tree</t>
  </si>
  <si>
    <t xml:space="preserve">Path Sum II</t>
  </si>
  <si>
    <t xml:space="preserve">Binary Tree Zigzag Level Order Traversal</t>
  </si>
  <si>
    <t xml:space="preserve">Mixed (timed): backtracking and DP</t>
  </si>
  <si>
    <t xml:space="preserve">Word Search</t>
  </si>
  <si>
    <t xml:space="preserve">Combination Sum II</t>
  </si>
  <si>
    <t xml:space="preserve">Word Break</t>
  </si>
  <si>
    <t xml:space="preserve">Weekly plan</t>
  </si>
  <si>
    <t xml:space="preserve">Focus</t>
  </si>
  <si>
    <t xml:space="preserve">Day-by-day</t>
  </si>
  <si>
    <t xml:space="preserve">Foundations: arrays, strings, counting</t>
  </si>
  <si>
    <t xml:space="preserve">D1: Tracking biggest / smallest   |   D2: Array operations   |   D3: Array practice   |   D4: Strings   |   D5: Frequency counting   |   D6: Counting and prefix idea   |   D7: weekly mock + revisits</t>
  </si>
  <si>
    <t xml:space="preserve">Hashing, Kadane, in-place arrays</t>
  </si>
  <si>
    <t xml:space="preserve">D1: Hash set / hash map basics   |   D2: Hash map matching   |   D3: Hashing: grouping and counting   |   D4: Kadane and prefix sums   |   D5: Arrays in place   |   D6: Sorting and de-duplication   |   D7: weekly mock + revisits</t>
  </si>
  <si>
    <t xml:space="preserve">Two pointers and sliding window</t>
  </si>
  <si>
    <t xml:space="preserve">D1: Two pointers (converging)   |   D2: Two pointers (more)   |   D3: Sliding window (fixed size)   |   D4: Sliding window (variable size)   |   D5: Sliding window (more)   |   D6: Mixed: pointers and window   |   D7: weekly mock + revisits</t>
  </si>
  <si>
    <t xml:space="preserve">Binary search, stack, queue</t>
  </si>
  <si>
    <t xml:space="preserve">D1: Binary search basics   |   D2: Binary search (variations)   |   D3: Binary search (answer space)   |   D4: Stack   |   D5: Monotonic stack   |   D6: Queue   |   D7: weekly mock + revisits</t>
  </si>
  <si>
    <t xml:space="preserve">Linked list and recursion</t>
  </si>
  <si>
    <t xml:space="preserve">D1: Linked list basics   |   D2: Linked list: pointers   |   D3: Linked list: two pointers   |   D4: Linked list: practice   |   D5: Recursion basics   |   D6: Recursion bridge   |   D7: weekly mock + revisits</t>
  </si>
  <si>
    <t xml:space="preserve">Trees and backtracking</t>
  </si>
  <si>
    <t xml:space="preserve">D1: Tree traversals   |   D2: Tree recursion   |   D3: Tree recursion (more)   |   D4: BFS on trees   |   D5: Backtracking   |   D6: Backtracking (more)   |   D7: weekly mock + revisits</t>
  </si>
  <si>
    <t xml:space="preserve">BST and heaps</t>
  </si>
  <si>
    <t xml:space="preserve">D1: Binary search trees   |   D2: Trees: ancestors   |   D3: Trees: construction and checks   |   D4: Heaps   |   D5: Heaps: top K   |   D6: Heaps: practice   |   D7: weekly mock + revisits</t>
  </si>
  <si>
    <t xml:space="preserve">Graphs (BFS, DFS, topological sort, Union-Find)</t>
  </si>
  <si>
    <t xml:space="preserve">D1: Graphs: grid DFS/BFS   |   D2: Graphs: grid (more)   |   D3: Graphs: connectivity   |   D4: Graphs: ordering and colouring   |   D5: Graphs: shortest paths   |   D6: Graphs: Union-Find and multi-source   |   D7: weekly mock + revisits</t>
  </si>
  <si>
    <t xml:space="preserve">Greedy, intervals, dynamic programming</t>
  </si>
  <si>
    <t xml:space="preserve">D1: Greedy   |   D2: Greedy (more)   |   D3: Intervals   |   D4: Dynamic programming (1D)   |   D5: Dynamic programming (more)   |   D6: Dynamic programming (2D / subsets)   |   D7: weekly mock + revisits</t>
  </si>
  <si>
    <t xml:space="preserve">Mixed timed practice, mocks, company-style tests, CS fundamentals, resume</t>
  </si>
  <si>
    <t xml:space="preserve">D1: Mixed (timed): matrices   |   D2: Mixed (timed): arrays   |   D3: Mixed (timed): strings and DP   |   D4: Mixed (timed): maths and binary search   |   D5: Mixed (timed): trees   |   D6: Mixed (timed): backtracking and DP   |   D7: weekly mock + revisits</t>
  </si>
  <si>
    <t xml:space="preserve">Week 10 should also include aptitude practice, OOP / DBMS / OS basics and resume work for your placement tests.</t>
  </si>
  <si>
    <t xml:space="preserve">Progress</t>
  </si>
  <si>
    <t xml:space="preserve">Start date (edit)</t>
  </si>
  <si>
    <t xml:space="preserve">Day 1 of the plan</t>
  </si>
  <si>
    <t xml:space="preserve">Placement week starts (edit)</t>
  </si>
  <si>
    <t xml:space="preserve">Check the real date with your placement cell</t>
  </si>
  <si>
    <t xml:space="preserve">Days left</t>
  </si>
  <si>
    <t xml:space="preserve">Overall</t>
  </si>
  <si>
    <t xml:space="preserve">Total problems</t>
  </si>
  <si>
    <t xml:space="preserve">Solved</t>
  </si>
  <si>
    <t xml:space="preserve">% solved</t>
  </si>
  <si>
    <t xml:space="preserve">Solved without a hint</t>
  </si>
  <si>
    <t xml:space="preserve">Needs revisit</t>
  </si>
  <si>
    <t xml:space="preserve">Average minutes per solved</t>
  </si>
  <si>
    <t xml:space="preserve">By week</t>
  </si>
  <si>
    <t xml:space="preserve">Total</t>
  </si>
  <si>
    <t xml:space="preserve">By difficulty</t>
  </si>
  <si>
    <t xml:space="preserve">Date</t>
  </si>
  <si>
    <t xml:space="preserve">What I tried</t>
  </si>
  <si>
    <t xml:space="preserve">Why it failed</t>
  </si>
  <si>
    <t xml:space="preserve">Correct idea / fix</t>
  </si>
  <si>
    <t xml:space="preserve">Clue to spot it next time</t>
  </si>
  <si>
    <t xml:space="preserve">Redo on</t>
  </si>
  <si>
    <t xml:space="preserve">Redone OK?</t>
  </si>
  <si>
    <t xml:space="preserve">Row 2 is an example. Overwrite or delete it.</t>
  </si>
  <si>
    <t xml:space="preserve">EXAMPLE: Find the second largest element</t>
  </si>
  <si>
    <t xml:space="preserve">Sorted the array and took the second element</t>
  </si>
  <si>
    <t xml:space="preserve">Failed on [5, 5, 3]: it returned 5</t>
  </si>
  <si>
    <t xml:space="preserve">Track two variables; update only when strictly bigger / smaller</t>
  </si>
  <si>
    <t xml:space="preserve">Needed the 2nd best in one pass; duplicates are a trap</t>
  </si>
  <si>
    <t xml:space="preserve">No</t>
  </si>
  <si>
    <t xml:space="preserve">Source (e.g. LeetCode, HackerRank, company practice test)</t>
  </si>
  <si>
    <t xml:space="preserve">Time limit (min)</t>
  </si>
  <si>
    <t xml:space="preserve">Problems attempted</t>
  </si>
  <si>
    <t xml:space="preserve">Problems solved</t>
  </si>
  <si>
    <t xml:space="preserve">Score (%)</t>
  </si>
  <si>
    <t xml:space="preserve">What went wrong</t>
  </si>
  <si>
    <t xml:space="preserve">Fix for next week</t>
  </si>
  <si>
    <t xml:space="preserve">EXAMPLE: 4 Easy problems from week 1</t>
  </si>
  <si>
    <t xml:space="preserve">Ran out of time on the last one; did not dry run</t>
  </si>
  <si>
    <t xml:space="preserve">Dry run before submitting; set a 15-minute alarm per problem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</si>
</sst>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"/>
    <numFmt numFmtId="166" formatCode="dd\-mmm\-yyyy"/>
    <numFmt numFmtId="167" formatCode="General"/>
    <numFmt numFmtId="168" formatCode="0.0%"/>
    <numFmt numFmtId="169" formatCode="0.0"/>
    <numFmt numFmtId="170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C62828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D9B3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2E7D32"/>
      </font>
    </dxf>
    <dxf>
      <font>
        <name val="Arial"/>
        <charset val="1"/>
        <family val="0"/>
        <b val="1"/>
        <color rgb="FFE65100"/>
      </font>
    </dxf>
    <dxf>
      <font>
        <name val="Arial"/>
        <charset val="1"/>
        <family val="0"/>
        <b val="1"/>
        <color rgb="FFC62828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9B3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eeksforgeeks.org/problems/find-minimum-and-maximum-element-in-an-array4428/1" TargetMode="External"/><Relationship Id="rId2" Type="http://schemas.openxmlformats.org/officeDocument/2006/relationships/hyperlink" Target="https://practice.geeksforgeeks.org/problems/third-largest-element/1" TargetMode="External"/><Relationship Id="rId3" Type="http://schemas.openxmlformats.org/officeDocument/2006/relationships/hyperlink" Target="https://leetcode.com/problems/third-maximum-number/" TargetMode="External"/><Relationship Id="rId4" Type="http://schemas.openxmlformats.org/officeDocument/2006/relationships/hyperlink" Target="https://leetcode.com/problems/check-if-array-is-sorted-and-rotated/" TargetMode="External"/><Relationship Id="rId5" Type="http://schemas.openxmlformats.org/officeDocument/2006/relationships/hyperlink" Target="https://leetcode.com/problems/reverse-string/" TargetMode="External"/><Relationship Id="rId6" Type="http://schemas.openxmlformats.org/officeDocument/2006/relationships/hyperlink" Target="https://leetcode.com/problems/move-zeroes/" TargetMode="External"/><Relationship Id="rId7" Type="http://schemas.openxmlformats.org/officeDocument/2006/relationships/hyperlink" Target="https://leetcode.com/problems/rotate-array/" TargetMode="External"/><Relationship Id="rId8" Type="http://schemas.openxmlformats.org/officeDocument/2006/relationships/hyperlink" Target="https://leetcode.com/problems/running-sum-of-1d-array/" TargetMode="External"/><Relationship Id="rId9" Type="http://schemas.openxmlformats.org/officeDocument/2006/relationships/hyperlink" Target="https://leetcode.com/problems/richest-customer-wealth/" TargetMode="External"/><Relationship Id="rId10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leetcode.com/problems/longest-common-prefix/" TargetMode="External"/><Relationship Id="rId12" Type="http://schemas.openxmlformats.org/officeDocument/2006/relationships/hyperlink" Target="https://leetcode.com/problems/longest-common-prefix/" TargetMode="External"/><Relationship Id="rId13" Type="http://schemas.openxmlformats.org/officeDocument/2006/relationships/hyperlink" Target="https://leetcode.com/problems/merge-strings-alternately/" TargetMode="External"/><Relationship Id="rId14" Type="http://schemas.openxmlformats.org/officeDocument/2006/relationships/hyperlink" Target="https://leetcode.com/problems/valid-anagram/" TargetMode="External"/><Relationship Id="rId15" Type="http://schemas.openxmlformats.org/officeDocument/2006/relationships/hyperlink" Target="https://leetcode.com/problems/first-unique-character-in-a-string/" TargetMode="External"/><Relationship Id="rId16" Type="http://schemas.openxmlformats.org/officeDocument/2006/relationships/hyperlink" Target="https://leetcode.com/problems/ransom-note/" TargetMode="External"/><Relationship Id="rId17" Type="http://schemas.openxmlformats.org/officeDocument/2006/relationships/hyperlink" Target="https://leetcode.com/problems/missing-number/" TargetMode="External"/><Relationship Id="rId18" Type="http://schemas.openxmlformats.org/officeDocument/2006/relationships/hyperlink" Target="https://leetcode.com/problems/missing-number/" TargetMode="External"/><Relationship Id="rId19" Type="http://schemas.openxmlformats.org/officeDocument/2006/relationships/hyperlink" Target="https://leetcode.com/problems/single-number/" TargetMode="External"/><Relationship Id="rId20" Type="http://schemas.openxmlformats.org/officeDocument/2006/relationships/hyperlink" Target="https://leetcode.com/problems/find-pivot-index/" TargetMode="External"/><Relationship Id="rId21" Type="http://schemas.openxmlformats.org/officeDocument/2006/relationships/hyperlink" Target="https://leetcode.com/problems/contains-duplicate/" TargetMode="External"/><Relationship Id="rId22" Type="http://schemas.openxmlformats.org/officeDocument/2006/relationships/hyperlink" Target="https://leetcode.com/problems/two-sum/" TargetMode="External"/><Relationship Id="rId23" Type="http://schemas.openxmlformats.org/officeDocument/2006/relationships/hyperlink" Target="https://leetcode.com/problems/intersection-of-two-arrays/" TargetMode="External"/><Relationship Id="rId24" Type="http://schemas.openxmlformats.org/officeDocument/2006/relationships/hyperlink" Target="https://leetcode.com/problems/isomorphic-strings/" TargetMode="External"/><Relationship Id="rId25" Type="http://schemas.openxmlformats.org/officeDocument/2006/relationships/hyperlink" Target="https://leetcode.com/problems/word-pattern/" TargetMode="External"/><Relationship Id="rId26" Type="http://schemas.openxmlformats.org/officeDocument/2006/relationships/hyperlink" Target="https://leetcode.com/problems/majority-element/" TargetMode="External"/><Relationship Id="rId27" Type="http://schemas.openxmlformats.org/officeDocument/2006/relationships/hyperlink" Target="https://leetcode.com/problems/majority-element/" TargetMode="External"/><Relationship Id="rId28" Type="http://schemas.openxmlformats.org/officeDocument/2006/relationships/hyperlink" Target="https://leetcode.com/problems/group-anagrams/" TargetMode="External"/><Relationship Id="rId29" Type="http://schemas.openxmlformats.org/officeDocument/2006/relationships/hyperlink" Target="https://leetcode.com/problems/group-anagrams/" TargetMode="External"/><Relationship Id="rId30" Type="http://schemas.openxmlformats.org/officeDocument/2006/relationships/hyperlink" Target="https://leetcode.com/problems/happy-number/" TargetMode="External"/><Relationship Id="rId31" Type="http://schemas.openxmlformats.org/officeDocument/2006/relationships/hyperlink" Target="https://leetcode.com/problems/top-k-frequent-elements/" TargetMode="External"/><Relationship Id="rId32" Type="http://schemas.openxmlformats.org/officeDocument/2006/relationships/hyperlink" Target="https://leetcode.com/problems/top-k-frequent-elements/" TargetMode="External"/><Relationship Id="rId33" Type="http://schemas.openxmlformats.org/officeDocument/2006/relationships/hyperlink" Target="https://leetcode.com/problems/maximum-subarray/" TargetMode="External"/><Relationship Id="rId34" Type="http://schemas.openxmlformats.org/officeDocument/2006/relationships/hyperlink" Target="https://practice.geeksforgeeks.org/problems/kadanes-algorithm-1587115620/1" TargetMode="External"/><Relationship Id="rId35" Type="http://schemas.openxmlformats.org/officeDocument/2006/relationships/hyperlink" Target="https://leetcode.com/problems/best-time-to-buy-and-sell-stock/" TargetMode="External"/><Relationship Id="rId36" Type="http://schemas.openxmlformats.org/officeDocument/2006/relationships/hyperlink" Target="https://leetcode.com/problems/best-time-to-buy-and-sell-stock/" TargetMode="External"/><Relationship Id="rId37" Type="http://schemas.openxmlformats.org/officeDocument/2006/relationships/hyperlink" Target="https://leetcode.com/problems/subarray-sum-equals-k/" TargetMode="External"/><Relationship Id="rId38" Type="http://schemas.openxmlformats.org/officeDocument/2006/relationships/hyperlink" Target="https://leetcode.com/problems/product-of-array-except-self/" TargetMode="External"/><Relationship Id="rId39" Type="http://schemas.openxmlformats.org/officeDocument/2006/relationships/hyperlink" Target="https://leetcode.com/problems/longest-consecutive-sequence/" TargetMode="External"/><Relationship Id="rId40" Type="http://schemas.openxmlformats.org/officeDocument/2006/relationships/hyperlink" Target="https://leetcode.com/problems/merge-sorted-array/" TargetMode="External"/><Relationship Id="rId41" Type="http://schemas.openxmlformats.org/officeDocument/2006/relationships/hyperlink" Target="https://leetcode.com/problems/sort-colors/" TargetMode="External"/><Relationship Id="rId42" Type="http://schemas.openxmlformats.org/officeDocument/2006/relationships/hyperlink" Target="https://leetcode.com/problems/remove-duplicates-from-sorted-array/" TargetMode="External"/><Relationship Id="rId43" Type="http://schemas.openxmlformats.org/officeDocument/2006/relationships/hyperlink" Target="https://leetcode.com/problems/remove-element/" TargetMode="External"/><Relationship Id="rId44" Type="http://schemas.openxmlformats.org/officeDocument/2006/relationships/hyperlink" Target="https://leetcode.com/problems/two-sum-ii-input-array-is-sorted/" TargetMode="External"/><Relationship Id="rId45" Type="http://schemas.openxmlformats.org/officeDocument/2006/relationships/hyperlink" Target="https://leetcode.com/problems/squares-of-a-sorted-array/" TargetMode="External"/><Relationship Id="rId46" Type="http://schemas.openxmlformats.org/officeDocument/2006/relationships/hyperlink" Target="https://leetcode.com/problems/valid-palindrome-ii/" TargetMode="External"/><Relationship Id="rId47" Type="http://schemas.openxmlformats.org/officeDocument/2006/relationships/hyperlink" Target="https://leetcode.com/problems/3sum/" TargetMode="External"/><Relationship Id="rId48" Type="http://schemas.openxmlformats.org/officeDocument/2006/relationships/hyperlink" Target="https://leetcode.com/problems/container-with-most-water/" TargetMode="External"/><Relationship Id="rId49" Type="http://schemas.openxmlformats.org/officeDocument/2006/relationships/hyperlink" Target="https://leetcode.com/problems/3sum-closest/" TargetMode="External"/><Relationship Id="rId50" Type="http://schemas.openxmlformats.org/officeDocument/2006/relationships/hyperlink" Target="https://leetcode.com/problems/maximum-average-subarray-i/" TargetMode="External"/><Relationship Id="rId51" Type="http://schemas.openxmlformats.org/officeDocument/2006/relationships/hyperlink" Target="https://leetcode.com/problems/find-all-anagrams-in-a-string/" TargetMode="External"/><Relationship Id="rId52" Type="http://schemas.openxmlformats.org/officeDocument/2006/relationships/hyperlink" Target="https://leetcode.com/problems/find-all-anagrams-in-a-string/solutions/92007/sliding-window-algorithm-template-to-solve-all-the-leetcode-substring-search-problem/" TargetMode="External"/><Relationship Id="rId53" Type="http://schemas.openxmlformats.org/officeDocument/2006/relationships/hyperlink" Target="https://leetcode.com/problems/permutation-in-string/" TargetMode="External"/><Relationship Id="rId54" Type="http://schemas.openxmlformats.org/officeDocument/2006/relationships/hyperlink" Target="https://leetcode.com/problems/longest-substring-without-repeating-characters/" TargetMode="External"/><Relationship Id="rId55" Type="http://schemas.openxmlformats.org/officeDocument/2006/relationships/hyperlink" Target="https://leetcode.com/problems/minimum-size-subarray-sum/" TargetMode="External"/><Relationship Id="rId56" Type="http://schemas.openxmlformats.org/officeDocument/2006/relationships/hyperlink" Target="https://leetcode.com/problems/longest-repeating-character-replacement/" TargetMode="External"/><Relationship Id="rId57" Type="http://schemas.openxmlformats.org/officeDocument/2006/relationships/hyperlink" Target="https://leetcode.com/problems/longest-repeating-character-replacement" TargetMode="External"/><Relationship Id="rId58" Type="http://schemas.openxmlformats.org/officeDocument/2006/relationships/hyperlink" Target="https://leetcode.com/problems/max-consecutive-ones-iii/" TargetMode="External"/><Relationship Id="rId59" Type="http://schemas.openxmlformats.org/officeDocument/2006/relationships/hyperlink" Target="https://leetcode.com/problems/max-consecutive-ones-iii/" TargetMode="External"/><Relationship Id="rId60" Type="http://schemas.openxmlformats.org/officeDocument/2006/relationships/hyperlink" Target="https://leetcode.com/problems/fruit-into-baskets/" TargetMode="External"/><Relationship Id="rId61" Type="http://schemas.openxmlformats.org/officeDocument/2006/relationships/hyperlink" Target="https://leetcode.com/problems/fruit-into-baskets" TargetMode="External"/><Relationship Id="rId62" Type="http://schemas.openxmlformats.org/officeDocument/2006/relationships/hyperlink" Target="https://leetcode.com/problems/minimum-window-substring/" TargetMode="External"/><Relationship Id="rId63" Type="http://schemas.openxmlformats.org/officeDocument/2006/relationships/hyperlink" Target="https://leetcode.com/problems/minimum-window-substring/description/" TargetMode="External"/><Relationship Id="rId64" Type="http://schemas.openxmlformats.org/officeDocument/2006/relationships/hyperlink" Target="https://leetcode.com/problems/boats-to-save-people/" TargetMode="External"/><Relationship Id="rId65" Type="http://schemas.openxmlformats.org/officeDocument/2006/relationships/hyperlink" Target="https://leetcode.com/problems/maximum-number-of-vowels-in-a-substring-of-given-length/" TargetMode="External"/><Relationship Id="rId66" Type="http://schemas.openxmlformats.org/officeDocument/2006/relationships/hyperlink" Target="https://leetcode.com/problems/trapping-rain-water/" TargetMode="External"/><Relationship Id="rId67" Type="http://schemas.openxmlformats.org/officeDocument/2006/relationships/hyperlink" Target="https://leetcode.com/problems/binary-search/" TargetMode="External"/><Relationship Id="rId68" Type="http://schemas.openxmlformats.org/officeDocument/2006/relationships/hyperlink" Target="https://leetcode.com/problems/search-insert-position/" TargetMode="External"/><Relationship Id="rId69" Type="http://schemas.openxmlformats.org/officeDocument/2006/relationships/hyperlink" Target="https://leetcode.com/problems/first-bad-version/" TargetMode="External"/><Relationship Id="rId70" Type="http://schemas.openxmlformats.org/officeDocument/2006/relationships/hyperlink" Target="https://leetcode.com/problems/sqrtx/" TargetMode="External"/><Relationship Id="rId71" Type="http://schemas.openxmlformats.org/officeDocument/2006/relationships/hyperlink" Target="https://leetcode.com/problems/search-in-rotated-sorted-array/" TargetMode="External"/><Relationship Id="rId72" Type="http://schemas.openxmlformats.org/officeDocument/2006/relationships/hyperlink" Target="https://leetcode.com/problems/find-first-and-last-position-of-element-in-sorted-array/" TargetMode="External"/><Relationship Id="rId73" Type="http://schemas.openxmlformats.org/officeDocument/2006/relationships/hyperlink" Target="https://leetcode.com/problems/find-minimum-in-rotated-sorted-array/" TargetMode="External"/><Relationship Id="rId74" Type="http://schemas.openxmlformats.org/officeDocument/2006/relationships/hyperlink" Target="https://leetcode.com/problems/peak-index-in-a-mountain-array/" TargetMode="External"/><Relationship Id="rId75" Type="http://schemas.openxmlformats.org/officeDocument/2006/relationships/hyperlink" Target="https://leetcode.com/problems/koko-eating-bananas/" TargetMode="External"/><Relationship Id="rId76" Type="http://schemas.openxmlformats.org/officeDocument/2006/relationships/hyperlink" Target="https://leetcode.com/problems/koko-eating-bananas/" TargetMode="External"/><Relationship Id="rId77" Type="http://schemas.openxmlformats.org/officeDocument/2006/relationships/hyperlink" Target="https://leetcode.com/problems/valid-parentheses/" TargetMode="External"/><Relationship Id="rId78" Type="http://schemas.openxmlformats.org/officeDocument/2006/relationships/hyperlink" Target="https://leetcode.com/problems/min-stack/" TargetMode="External"/><Relationship Id="rId79" Type="http://schemas.openxmlformats.org/officeDocument/2006/relationships/hyperlink" Target="https://leetcode.com/problems/baseball-game/" TargetMode="External"/><Relationship Id="rId80" Type="http://schemas.openxmlformats.org/officeDocument/2006/relationships/hyperlink" Target="https://leetcode.com/problems/next-greater-element-i/" TargetMode="External"/><Relationship Id="rId81" Type="http://schemas.openxmlformats.org/officeDocument/2006/relationships/hyperlink" Target="https://leetcode.com/problems/daily-temperatures/" TargetMode="External"/><Relationship Id="rId82" Type="http://schemas.openxmlformats.org/officeDocument/2006/relationships/hyperlink" Target="https://leetcode.com/problems/evaluate-reverse-polish-notation/" TargetMode="External"/><Relationship Id="rId83" Type="http://schemas.openxmlformats.org/officeDocument/2006/relationships/hyperlink" Target="https://leetcode.com/problems/implement-queue-using-stacks/" TargetMode="External"/><Relationship Id="rId84" Type="http://schemas.openxmlformats.org/officeDocument/2006/relationships/hyperlink" Target="https://leetcode.com/problems/implement-stack-using-queues/" TargetMode="External"/><Relationship Id="rId85" Type="http://schemas.openxmlformats.org/officeDocument/2006/relationships/hyperlink" Target="https://leetcode.com/problems/number-of-recent-calls/" TargetMode="External"/><Relationship Id="rId86" Type="http://schemas.openxmlformats.org/officeDocument/2006/relationships/hyperlink" Target="https://leetcode.com/problems/reverse-linked-list/" TargetMode="External"/><Relationship Id="rId87" Type="http://schemas.openxmlformats.org/officeDocument/2006/relationships/hyperlink" Target="https://leetcode.com/problems/middle-of-the-linked-list/" TargetMode="External"/><Relationship Id="rId88" Type="http://schemas.openxmlformats.org/officeDocument/2006/relationships/hyperlink" Target="https://leetcode.com/problems/remove-linked-list-elements/" TargetMode="External"/><Relationship Id="rId89" Type="http://schemas.openxmlformats.org/officeDocument/2006/relationships/hyperlink" Target="https://leetcode.com/problems/linked-list-cycle/" TargetMode="External"/><Relationship Id="rId90" Type="http://schemas.openxmlformats.org/officeDocument/2006/relationships/hyperlink" Target="https://leetcode.com/problems/merge-two-sorted-lists/" TargetMode="External"/><Relationship Id="rId91" Type="http://schemas.openxmlformats.org/officeDocument/2006/relationships/hyperlink" Target="https://leetcode.com/problems/palindrome-linked-list/" TargetMode="External"/><Relationship Id="rId92" Type="http://schemas.openxmlformats.org/officeDocument/2006/relationships/hyperlink" Target="https://leetcode.com/problems/remove-nth-node-from-end-of-list/" TargetMode="External"/><Relationship Id="rId93" Type="http://schemas.openxmlformats.org/officeDocument/2006/relationships/hyperlink" Target="https://leetcode.com/problems/intersection-of-two-linked-lists/" TargetMode="External"/><Relationship Id="rId94" Type="http://schemas.openxmlformats.org/officeDocument/2006/relationships/hyperlink" Target="https://leetcode.com/problems/delete-the-middle-node-of-a-linked-list/" TargetMode="External"/><Relationship Id="rId95" Type="http://schemas.openxmlformats.org/officeDocument/2006/relationships/hyperlink" Target="https://leetcode.com/problems/add-two-numbers/" TargetMode="External"/><Relationship Id="rId96" Type="http://schemas.openxmlformats.org/officeDocument/2006/relationships/hyperlink" Target="https://leetcode.com/problems/reorder-list/" TargetMode="External"/><Relationship Id="rId97" Type="http://schemas.openxmlformats.org/officeDocument/2006/relationships/hyperlink" Target="https://leetcode.com/problems/remove-duplicates-from-sorted-list/" TargetMode="External"/><Relationship Id="rId98" Type="http://schemas.openxmlformats.org/officeDocument/2006/relationships/hyperlink" Target="https://leetcode.com/problems/fibonacci-number/" TargetMode="External"/><Relationship Id="rId99" Type="http://schemas.openxmlformats.org/officeDocument/2006/relationships/hyperlink" Target="https://leetcode.com/problems/power-of-two/" TargetMode="External"/><Relationship Id="rId100" Type="http://schemas.openxmlformats.org/officeDocument/2006/relationships/hyperlink" Target="https://leetcode.com/problems/powx-n/" TargetMode="External"/><Relationship Id="rId101" Type="http://schemas.openxmlformats.org/officeDocument/2006/relationships/hyperlink" Target="https://leetcode.com/problems/climbing-stairs/" TargetMode="External"/><Relationship Id="rId102" Type="http://schemas.openxmlformats.org/officeDocument/2006/relationships/hyperlink" Target="https://leetcode.com/problems/sort-an-array/" TargetMode="External"/><Relationship Id="rId103" Type="http://schemas.openxmlformats.org/officeDocument/2006/relationships/hyperlink" Target="https://leetcode.com/problems/find-the-duplicate-number/" TargetMode="External"/><Relationship Id="rId104" Type="http://schemas.openxmlformats.org/officeDocument/2006/relationships/hyperlink" Target="https://leetcode.com/problems/binary-tree-inorder-traversal/" TargetMode="External"/><Relationship Id="rId105" Type="http://schemas.openxmlformats.org/officeDocument/2006/relationships/hyperlink" Target="https://leetcode.com/problems/binary-tree-preorder-traversal/" TargetMode="External"/><Relationship Id="rId106" Type="http://schemas.openxmlformats.org/officeDocument/2006/relationships/hyperlink" Target="https://leetcode.com/problems/binary-tree-postorder-traversal/" TargetMode="External"/><Relationship Id="rId107" Type="http://schemas.openxmlformats.org/officeDocument/2006/relationships/hyperlink" Target="https://leetcode.com/problems/maximum-depth-of-binary-tree/" TargetMode="External"/><Relationship Id="rId108" Type="http://schemas.openxmlformats.org/officeDocument/2006/relationships/hyperlink" Target="https://leetcode.com/problems/invert-binary-tree/" TargetMode="External"/><Relationship Id="rId109" Type="http://schemas.openxmlformats.org/officeDocument/2006/relationships/hyperlink" Target="https://leetcode.com/problems/same-tree/" TargetMode="External"/><Relationship Id="rId110" Type="http://schemas.openxmlformats.org/officeDocument/2006/relationships/hyperlink" Target="https://leetcode.com/problems/symmetric-tree/" TargetMode="External"/><Relationship Id="rId111" Type="http://schemas.openxmlformats.org/officeDocument/2006/relationships/hyperlink" Target="https://leetcode.com/problems/path-sum/" TargetMode="External"/><Relationship Id="rId112" Type="http://schemas.openxmlformats.org/officeDocument/2006/relationships/hyperlink" Target="https://leetcode.com/problems/diameter-of-binary-tree/" TargetMode="External"/><Relationship Id="rId113" Type="http://schemas.openxmlformats.org/officeDocument/2006/relationships/hyperlink" Target="https://leetcode.com/problems/binary-tree-level-order-traversal/" TargetMode="External"/><Relationship Id="rId114" Type="http://schemas.openxmlformats.org/officeDocument/2006/relationships/hyperlink" Target="https://leetcode.com/problems/binary-tree-right-side-view/" TargetMode="External"/><Relationship Id="rId115" Type="http://schemas.openxmlformats.org/officeDocument/2006/relationships/hyperlink" Target="https://leetcode.com/problems/minimum-depth-of-binary-tree/" TargetMode="External"/><Relationship Id="rId116" Type="http://schemas.openxmlformats.org/officeDocument/2006/relationships/hyperlink" Target="https://leetcode.com/problems/subsets/" TargetMode="External"/><Relationship Id="rId117" Type="http://schemas.openxmlformats.org/officeDocument/2006/relationships/hyperlink" Target="https://leetcode.com/problems/permutations/" TargetMode="External"/><Relationship Id="rId118" Type="http://schemas.openxmlformats.org/officeDocument/2006/relationships/hyperlink" Target="https://leetcode.com/problems/combination-sum/" TargetMode="External"/><Relationship Id="rId119" Type="http://schemas.openxmlformats.org/officeDocument/2006/relationships/hyperlink" Target="https://leetcode.com/problems/letter-combinations-of-a-phone-number/" TargetMode="External"/><Relationship Id="rId120" Type="http://schemas.openxmlformats.org/officeDocument/2006/relationships/hyperlink" Target="https://leetcode.com/problems/palindrome-partitioning/" TargetMode="External"/><Relationship Id="rId121" Type="http://schemas.openxmlformats.org/officeDocument/2006/relationships/hyperlink" Target="https://leetcode.com/problems/generate-parentheses/" TargetMode="External"/><Relationship Id="rId122" Type="http://schemas.openxmlformats.org/officeDocument/2006/relationships/hyperlink" Target="https://leetcode.com/problems/validate-binary-search-tree/" TargetMode="External"/><Relationship Id="rId123" Type="http://schemas.openxmlformats.org/officeDocument/2006/relationships/hyperlink" Target="https://leetcode.com/problems/search-in-a-binary-search-tree/" TargetMode="External"/><Relationship Id="rId124" Type="http://schemas.openxmlformats.org/officeDocument/2006/relationships/hyperlink" Target="https://leetcode.com/problems/insert-into-a-binary-search-tree/" TargetMode="External"/><Relationship Id="rId125" Type="http://schemas.openxmlformats.org/officeDocument/2006/relationships/hyperlink" Target="https://leetcode.com/problems/insert-into-a-binary-search-tree/" TargetMode="External"/><Relationship Id="rId126" Type="http://schemas.openxmlformats.org/officeDocument/2006/relationships/hyperlink" Target="https://leetcode.com/problems/lowest-common-ancestor-of-a-binary-search-tree/" TargetMode="External"/><Relationship Id="rId127" Type="http://schemas.openxmlformats.org/officeDocument/2006/relationships/hyperlink" Target="https://leetcode.com/problems/lowest-common-ancestor-of-a-binary-tree/" TargetMode="External"/><Relationship Id="rId128" Type="http://schemas.openxmlformats.org/officeDocument/2006/relationships/hyperlink" Target="https://leetcode.com/problems/kth-smallest-element-in-a-bst/" TargetMode="External"/><Relationship Id="rId129" Type="http://schemas.openxmlformats.org/officeDocument/2006/relationships/hyperlink" Target="https://leetcode.com/problems/convert-sorted-array-to-binary-search-tree/" TargetMode="External"/><Relationship Id="rId130" Type="http://schemas.openxmlformats.org/officeDocument/2006/relationships/hyperlink" Target="https://leetcode.com/problems/balanced-binary-tree/" TargetMode="External"/><Relationship Id="rId131" Type="http://schemas.openxmlformats.org/officeDocument/2006/relationships/hyperlink" Target="https://leetcode.com/problems/subtree-of-another-tree/" TargetMode="External"/><Relationship Id="rId132" Type="http://schemas.openxmlformats.org/officeDocument/2006/relationships/hyperlink" Target="https://leetcode.com/problems/kth-largest-element-in-an-array/" TargetMode="External"/><Relationship Id="rId133" Type="http://schemas.openxmlformats.org/officeDocument/2006/relationships/hyperlink" Target="https://leetcode.com/problems/last-stone-weight/" TargetMode="External"/><Relationship Id="rId134" Type="http://schemas.openxmlformats.org/officeDocument/2006/relationships/hyperlink" Target="https://leetcode.com/problems/kth-largest-element-in-a-stream/" TargetMode="External"/><Relationship Id="rId135" Type="http://schemas.openxmlformats.org/officeDocument/2006/relationships/hyperlink" Target="https://leetcode.com/problems/k-closest-points-to-origin/" TargetMode="External"/><Relationship Id="rId136" Type="http://schemas.openxmlformats.org/officeDocument/2006/relationships/hyperlink" Target="https://leetcode.com/problems/sort-characters-by-frequency/" TargetMode="External"/><Relationship Id="rId137" Type="http://schemas.openxmlformats.org/officeDocument/2006/relationships/hyperlink" Target="https://leetcode.com/problems/sort-characters-by-frequency/" TargetMode="External"/><Relationship Id="rId138" Type="http://schemas.openxmlformats.org/officeDocument/2006/relationships/hyperlink" Target="https://leetcode.com/problems/kth-smallest-element-in-a-sorted-matrix/" TargetMode="External"/><Relationship Id="rId139" Type="http://schemas.openxmlformats.org/officeDocument/2006/relationships/hyperlink" Target="https://leetcode.com/problems/kth-smallest-element-in-a-sorted-matrix/" TargetMode="External"/><Relationship Id="rId140" Type="http://schemas.openxmlformats.org/officeDocument/2006/relationships/hyperlink" Target="https://leetcode.com/problems/reorganize-string/" TargetMode="External"/><Relationship Id="rId141" Type="http://schemas.openxmlformats.org/officeDocument/2006/relationships/hyperlink" Target="https://leetcode.com/problems/reorganize-string/" TargetMode="External"/><Relationship Id="rId142" Type="http://schemas.openxmlformats.org/officeDocument/2006/relationships/hyperlink" Target="https://leetcode.com/problems/task-scheduler/" TargetMode="External"/><Relationship Id="rId143" Type="http://schemas.openxmlformats.org/officeDocument/2006/relationships/hyperlink" Target="https://leetcode.com/problems/task-scheduler/" TargetMode="External"/><Relationship Id="rId144" Type="http://schemas.openxmlformats.org/officeDocument/2006/relationships/hyperlink" Target="https://leetcode.com/problems/merge-k-sorted-lists/" TargetMode="External"/><Relationship Id="rId145" Type="http://schemas.openxmlformats.org/officeDocument/2006/relationships/hyperlink" Target="https://leetcode.com/problems/flood-fill/" TargetMode="External"/><Relationship Id="rId146" Type="http://schemas.openxmlformats.org/officeDocument/2006/relationships/hyperlink" Target="https://leetcode.com/problems/number-of-islands/" TargetMode="External"/><Relationship Id="rId147" Type="http://schemas.openxmlformats.org/officeDocument/2006/relationships/hyperlink" Target="https://leetcode.com/problems/max-area-of-island/" TargetMode="External"/><Relationship Id="rId148" Type="http://schemas.openxmlformats.org/officeDocument/2006/relationships/hyperlink" Target="https://leetcode.com/problems/rotting-oranges/" TargetMode="External"/><Relationship Id="rId149" Type="http://schemas.openxmlformats.org/officeDocument/2006/relationships/hyperlink" Target="https://leetcode.com/problems/surrounded-regions/" TargetMode="External"/><Relationship Id="rId150" Type="http://schemas.openxmlformats.org/officeDocument/2006/relationships/hyperlink" Target="https://leetcode.com/problems/island-perimeter/" TargetMode="External"/><Relationship Id="rId151" Type="http://schemas.openxmlformats.org/officeDocument/2006/relationships/hyperlink" Target="https://leetcode.com/problems/find-if-path-exists-in-graph/" TargetMode="External"/><Relationship Id="rId152" Type="http://schemas.openxmlformats.org/officeDocument/2006/relationships/hyperlink" Target="https://leetcode.com/problems/number-of-provinces/" TargetMode="External"/><Relationship Id="rId153" Type="http://schemas.openxmlformats.org/officeDocument/2006/relationships/hyperlink" Target="https://leetcode.com/problems/clone-graph/" TargetMode="External"/><Relationship Id="rId154" Type="http://schemas.openxmlformats.org/officeDocument/2006/relationships/hyperlink" Target="https://leetcode.com/problems/course-schedule/" TargetMode="External"/><Relationship Id="rId155" Type="http://schemas.openxmlformats.org/officeDocument/2006/relationships/hyperlink" Target="https://leetcode.com/problems/course-schedule-ii/" TargetMode="External"/><Relationship Id="rId156" Type="http://schemas.openxmlformats.org/officeDocument/2006/relationships/hyperlink" Target="https://leetcode.com/problems/course-schedule-ii" TargetMode="External"/><Relationship Id="rId157" Type="http://schemas.openxmlformats.org/officeDocument/2006/relationships/hyperlink" Target="https://leetcode.com/problems/is-graph-bipartite/" TargetMode="External"/><Relationship Id="rId158" Type="http://schemas.openxmlformats.org/officeDocument/2006/relationships/hyperlink" Target="https://leetcode.com/problems/shortest-path-in-binary-matrix/" TargetMode="External"/><Relationship Id="rId159" Type="http://schemas.openxmlformats.org/officeDocument/2006/relationships/hyperlink" Target="https://leetcode.com/problems/network-delay-time/" TargetMode="External"/><Relationship Id="rId160" Type="http://schemas.openxmlformats.org/officeDocument/2006/relationships/hyperlink" Target="https://leetcode.com/problems/word-ladder/" TargetMode="External"/><Relationship Id="rId161" Type="http://schemas.openxmlformats.org/officeDocument/2006/relationships/hyperlink" Target="https://leetcode.com/problems/redundant-connection/" TargetMode="External"/><Relationship Id="rId162" Type="http://schemas.openxmlformats.org/officeDocument/2006/relationships/hyperlink" Target="https://leetcode.com/problems/accounts-merge/" TargetMode="External"/><Relationship Id="rId163" Type="http://schemas.openxmlformats.org/officeDocument/2006/relationships/hyperlink" Target="https://leetcode.com/problems/pacific-atlantic-water-flow/" TargetMode="External"/><Relationship Id="rId164" Type="http://schemas.openxmlformats.org/officeDocument/2006/relationships/hyperlink" Target="https://leetcode.com/problems/assign-cookies/" TargetMode="External"/><Relationship Id="rId165" Type="http://schemas.openxmlformats.org/officeDocument/2006/relationships/hyperlink" Target="https://leetcode.com/problems/jump-game/" TargetMode="External"/><Relationship Id="rId166" Type="http://schemas.openxmlformats.org/officeDocument/2006/relationships/hyperlink" Target="https://leetcode.com/problems/best-time-to-buy-and-sell-stock-ii/" TargetMode="External"/><Relationship Id="rId167" Type="http://schemas.openxmlformats.org/officeDocument/2006/relationships/hyperlink" Target="https://leetcode.com/problems/best-time-to-buy-and-sell-stock-ii/" TargetMode="External"/><Relationship Id="rId168" Type="http://schemas.openxmlformats.org/officeDocument/2006/relationships/hyperlink" Target="https://leetcode.com/problems/gas-station/" TargetMode="External"/><Relationship Id="rId169" Type="http://schemas.openxmlformats.org/officeDocument/2006/relationships/hyperlink" Target="https://leetcode.com/problems/lemonade-change/" TargetMode="External"/><Relationship Id="rId170" Type="http://schemas.openxmlformats.org/officeDocument/2006/relationships/hyperlink" Target="https://leetcode.com/problems/non-overlapping-intervals/" TargetMode="External"/><Relationship Id="rId171" Type="http://schemas.openxmlformats.org/officeDocument/2006/relationships/hyperlink" Target="https://leetcode.com/problems/non-overlapping-intervals/" TargetMode="External"/><Relationship Id="rId172" Type="http://schemas.openxmlformats.org/officeDocument/2006/relationships/hyperlink" Target="https://leetcode.com/problems/merge-intervals/" TargetMode="External"/><Relationship Id="rId173" Type="http://schemas.openxmlformats.org/officeDocument/2006/relationships/hyperlink" Target="https://leetcode.com/problems/merge-intervals/" TargetMode="External"/><Relationship Id="rId174" Type="http://schemas.openxmlformats.org/officeDocument/2006/relationships/hyperlink" Target="https://leetcode.com/problems/insert-interval/" TargetMode="External"/><Relationship Id="rId175" Type="http://schemas.openxmlformats.org/officeDocument/2006/relationships/hyperlink" Target="https://leetcode.com/problems/insert-interval/" TargetMode="External"/><Relationship Id="rId176" Type="http://schemas.openxmlformats.org/officeDocument/2006/relationships/hyperlink" Target="https://leetcode.com/problems/minimum-number-of-arrows-to-burst-balloons/" TargetMode="External"/><Relationship Id="rId177" Type="http://schemas.openxmlformats.org/officeDocument/2006/relationships/hyperlink" Target="https://leetcode.com/problems/min-cost-climbing-stairs/" TargetMode="External"/><Relationship Id="rId178" Type="http://schemas.openxmlformats.org/officeDocument/2006/relationships/hyperlink" Target="https://leetcode.com/problems/house-robber/" TargetMode="External"/><Relationship Id="rId179" Type="http://schemas.openxmlformats.org/officeDocument/2006/relationships/hyperlink" Target="https://leetcode.com/problems/house-robber/" TargetMode="External"/><Relationship Id="rId180" Type="http://schemas.openxmlformats.org/officeDocument/2006/relationships/hyperlink" Target="https://leetcode.com/problems/house-robber-ii/" TargetMode="External"/><Relationship Id="rId181" Type="http://schemas.openxmlformats.org/officeDocument/2006/relationships/hyperlink" Target="https://leetcode.com/problems/house-robber-ii/" TargetMode="External"/><Relationship Id="rId182" Type="http://schemas.openxmlformats.org/officeDocument/2006/relationships/hyperlink" Target="https://leetcode.com/problems/coin-change/" TargetMode="External"/><Relationship Id="rId183" Type="http://schemas.openxmlformats.org/officeDocument/2006/relationships/hyperlink" Target="https://leetcode.com/problems/longest-increasing-subsequence/" TargetMode="External"/><Relationship Id="rId184" Type="http://schemas.openxmlformats.org/officeDocument/2006/relationships/hyperlink" Target="https://leetcode.com/problems/longest-increasing-subsequence/" TargetMode="External"/><Relationship Id="rId185" Type="http://schemas.openxmlformats.org/officeDocument/2006/relationships/hyperlink" Target="https://leetcode.com/problems/unique-paths/" TargetMode="External"/><Relationship Id="rId186" Type="http://schemas.openxmlformats.org/officeDocument/2006/relationships/hyperlink" Target="https://leetcode.com/problems/minimum-path-sum/" TargetMode="External"/><Relationship Id="rId187" Type="http://schemas.openxmlformats.org/officeDocument/2006/relationships/hyperlink" Target="https://leetcode.com/problems/minimum-path-sum/" TargetMode="External"/><Relationship Id="rId188" Type="http://schemas.openxmlformats.org/officeDocument/2006/relationships/hyperlink" Target="https://leetcode.com/problems/longest-common-subsequence/" TargetMode="External"/><Relationship Id="rId189" Type="http://schemas.openxmlformats.org/officeDocument/2006/relationships/hyperlink" Target="https://leetcode.com/problems/partition-equal-subset-sum/" TargetMode="External"/><Relationship Id="rId190" Type="http://schemas.openxmlformats.org/officeDocument/2006/relationships/hyperlink" Target="https://leetcode.com/problems/valid-sudoku/" TargetMode="External"/><Relationship Id="rId191" Type="http://schemas.openxmlformats.org/officeDocument/2006/relationships/hyperlink" Target="https://leetcode.com/problems/spiral-matrix/" TargetMode="External"/><Relationship Id="rId192" Type="http://schemas.openxmlformats.org/officeDocument/2006/relationships/hyperlink" Target="https://leetcode.com/problems/rotate-image/" TargetMode="External"/><Relationship Id="rId193" Type="http://schemas.openxmlformats.org/officeDocument/2006/relationships/hyperlink" Target="https://leetcode.com/problems/set-matrix-zeroes/" TargetMode="External"/><Relationship Id="rId194" Type="http://schemas.openxmlformats.org/officeDocument/2006/relationships/hyperlink" Target="https://leetcode.com/problems/set-matrix-zeroes/" TargetMode="External"/><Relationship Id="rId195" Type="http://schemas.openxmlformats.org/officeDocument/2006/relationships/hyperlink" Target="https://leetcode.com/problems/next-permutation/" TargetMode="External"/><Relationship Id="rId196" Type="http://schemas.openxmlformats.org/officeDocument/2006/relationships/hyperlink" Target="https://leetcode.com/problems/next-permutation/" TargetMode="External"/><Relationship Id="rId197" Type="http://schemas.openxmlformats.org/officeDocument/2006/relationships/hyperlink" Target="https://leetcode.com/problems/search-a-2d-matrix/" TargetMode="External"/><Relationship Id="rId198" Type="http://schemas.openxmlformats.org/officeDocument/2006/relationships/hyperlink" Target="https://leetcode.com/problems/search-a-2d-matrix/" TargetMode="External"/><Relationship Id="rId199" Type="http://schemas.openxmlformats.org/officeDocument/2006/relationships/hyperlink" Target="https://leetcode.com/problems/longest-palindromic-substring/" TargetMode="External"/><Relationship Id="rId200" Type="http://schemas.openxmlformats.org/officeDocument/2006/relationships/hyperlink" Target="https://leetcode.com/problems/palindromic-substrings/" TargetMode="External"/><Relationship Id="rId201" Type="http://schemas.openxmlformats.org/officeDocument/2006/relationships/hyperlink" Target="https://leetcode.com/problems/decode-ways/" TargetMode="External"/><Relationship Id="rId202" Type="http://schemas.openxmlformats.org/officeDocument/2006/relationships/hyperlink" Target="https://leetcode.com/problems/count-primes/" TargetMode="External"/><Relationship Id="rId203" Type="http://schemas.openxmlformats.org/officeDocument/2006/relationships/hyperlink" Target="https://leetcode.com/problems/find-peak-element/" TargetMode="External"/><Relationship Id="rId204" Type="http://schemas.openxmlformats.org/officeDocument/2006/relationships/hyperlink" Target="https://leetcode.com/problems/partition-labels/" TargetMode="External"/><Relationship Id="rId205" Type="http://schemas.openxmlformats.org/officeDocument/2006/relationships/hyperlink" Target="https://leetcode.com/problems/partition-labels/" TargetMode="External"/><Relationship Id="rId206" Type="http://schemas.openxmlformats.org/officeDocument/2006/relationships/hyperlink" Target="https://leetcode.com/problems/count-good-nodes-in-binary-tree/" TargetMode="External"/><Relationship Id="rId207" Type="http://schemas.openxmlformats.org/officeDocument/2006/relationships/hyperlink" Target="https://leetcode.com/problems/path-sum-ii/" TargetMode="External"/><Relationship Id="rId208" Type="http://schemas.openxmlformats.org/officeDocument/2006/relationships/hyperlink" Target="https://leetcode.com/problems/binary-tree-zigzag-level-order-traversal/" TargetMode="External"/><Relationship Id="rId209" Type="http://schemas.openxmlformats.org/officeDocument/2006/relationships/hyperlink" Target="https://leetcode.com/problems/word-search/" TargetMode="External"/><Relationship Id="rId210" Type="http://schemas.openxmlformats.org/officeDocument/2006/relationships/hyperlink" Target="https://leetcode.com/problems/combination-sum-ii/" TargetMode="External"/><Relationship Id="rId211" Type="http://schemas.openxmlformats.org/officeDocument/2006/relationships/hyperlink" Target="https://leetcode.com/problems/combination-sum-ii" TargetMode="External"/><Relationship Id="rId212" Type="http://schemas.openxmlformats.org/officeDocument/2006/relationships/hyperlink" Target="https://leetcode.com/problems/word-break/" TargetMode="External"/><Relationship Id="rId21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3" t="s">
        <v>4</v>
      </c>
    </row>
    <row r="5" customFormat="false" ht="45" hidden="false" customHeight="true" outlineLevel="0" collapsed="false">
      <c r="A5" s="2" t="s">
        <v>5</v>
      </c>
      <c r="B5" s="3" t="s">
        <v>6</v>
      </c>
    </row>
    <row r="6" customFormat="false" ht="30" hidden="false" customHeight="true" outlineLevel="0" collapsed="false">
      <c r="A6" s="2" t="s">
        <v>7</v>
      </c>
      <c r="B6" s="3" t="s">
        <v>8</v>
      </c>
    </row>
    <row r="7" customFormat="false" ht="30" hidden="false" customHeight="true" outlineLevel="0" collapsed="false">
      <c r="A7" s="2" t="s">
        <v>9</v>
      </c>
      <c r="B7" s="3" t="s">
        <v>10</v>
      </c>
    </row>
    <row r="8" customFormat="false" ht="30" hidden="false" customHeight="true" outlineLevel="0" collapsed="false">
      <c r="A8" s="2" t="s">
        <v>11</v>
      </c>
      <c r="B8" s="3" t="s">
        <v>12</v>
      </c>
    </row>
    <row r="9" customFormat="false" ht="30" hidden="false" customHeight="true" outlineLevel="0" collapsed="false">
      <c r="A9" s="2" t="s">
        <v>13</v>
      </c>
      <c r="B9" s="3" t="s">
        <v>14</v>
      </c>
    </row>
    <row r="10" customFormat="false" ht="30" hidden="false" customHeight="true" outlineLevel="0" collapsed="false">
      <c r="A10" s="2" t="s">
        <v>15</v>
      </c>
      <c r="B10" s="3" t="s">
        <v>16</v>
      </c>
    </row>
    <row r="11" customFormat="false" ht="30" hidden="false" customHeight="true" outlineLevel="0" collapsed="false">
      <c r="A11" s="2" t="s">
        <v>17</v>
      </c>
      <c r="B11" s="3" t="s">
        <v>18</v>
      </c>
    </row>
    <row r="12" customFormat="false" ht="30" hidden="false" customHeight="true" outlineLevel="0" collapsed="false">
      <c r="A12" s="2" t="s">
        <v>19</v>
      </c>
      <c r="B12" s="3" t="s">
        <v>20</v>
      </c>
    </row>
    <row r="13" customFormat="false" ht="30" hidden="false" customHeight="true" outlineLevel="0" collapsed="false">
      <c r="A13" s="2" t="s">
        <v>21</v>
      </c>
      <c r="B13" s="3" t="s">
        <v>22</v>
      </c>
    </row>
    <row r="14" customFormat="false" ht="60" hidden="false" customHeight="true" outlineLevel="0" collapsed="false">
      <c r="A14" s="2" t="s">
        <v>23</v>
      </c>
      <c r="B14" s="3" t="s">
        <v>24</v>
      </c>
    </row>
    <row r="15" customFormat="false" ht="30" hidden="false" customHeight="true" outlineLevel="0" collapsed="false">
      <c r="A15" s="2" t="s">
        <v>25</v>
      </c>
      <c r="B15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7" min="6" style="0" width="11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5" min="14" style="0" width="10"/>
    <col collapsed="false" customWidth="true" hidden="false" outlineLevel="0" max="16" min="16" style="0" width="13"/>
    <col collapsed="false" customWidth="true" hidden="false" outlineLevel="0" max="17" min="17" style="0" width="40"/>
  </cols>
  <sheetData>
    <row r="1" customFormat="false" ht="31.5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11</v>
      </c>
      <c r="P1" s="4" t="s">
        <v>41</v>
      </c>
      <c r="Q1" s="4" t="s">
        <v>42</v>
      </c>
    </row>
    <row r="2" customFormat="false" ht="15" hidden="false" customHeight="false" outlineLevel="0" collapsed="false">
      <c r="A2" s="5" t="n">
        <v>1</v>
      </c>
      <c r="B2" s="5" t="n">
        <v>1</v>
      </c>
      <c r="C2" s="5" t="n">
        <v>1</v>
      </c>
      <c r="D2" s="6" t="s">
        <v>43</v>
      </c>
      <c r="E2" s="6" t="s">
        <v>44</v>
      </c>
      <c r="F2" s="5" t="s">
        <v>45</v>
      </c>
      <c r="G2" s="5" t="s">
        <v>46</v>
      </c>
      <c r="H2" s="5" t="s">
        <v>47</v>
      </c>
      <c r="I2" s="5" t="s">
        <v>48</v>
      </c>
      <c r="J2" s="7" t="s">
        <v>49</v>
      </c>
      <c r="K2" s="8" t="n">
        <f aca="false">Progress!$B$3+(B2-1)*7+(C2-1)</f>
        <v>46326</v>
      </c>
      <c r="L2" s="9" t="s">
        <v>50</v>
      </c>
      <c r="M2" s="10"/>
      <c r="N2" s="9"/>
      <c r="O2" s="9"/>
      <c r="P2" s="10"/>
      <c r="Q2" s="11"/>
    </row>
    <row r="3" customFormat="false" ht="15" hidden="false" customHeight="false" outlineLevel="0" collapsed="false">
      <c r="A3" s="5" t="n">
        <v>2</v>
      </c>
      <c r="B3" s="5" t="n">
        <v>1</v>
      </c>
      <c r="C3" s="5" t="n">
        <v>1</v>
      </c>
      <c r="D3" s="6" t="s">
        <v>43</v>
      </c>
      <c r="E3" s="6" t="s">
        <v>51</v>
      </c>
      <c r="F3" s="5" t="s">
        <v>45</v>
      </c>
      <c r="G3" s="5" t="s">
        <v>46</v>
      </c>
      <c r="H3" s="5" t="s">
        <v>47</v>
      </c>
      <c r="I3" s="5" t="s">
        <v>48</v>
      </c>
      <c r="J3" s="7" t="s">
        <v>49</v>
      </c>
      <c r="K3" s="8" t="n">
        <f aca="false">Progress!$B$3+(B3-1)*7+(C3-1)</f>
        <v>46326</v>
      </c>
      <c r="L3" s="9" t="s">
        <v>50</v>
      </c>
      <c r="M3" s="10"/>
      <c r="N3" s="9"/>
      <c r="O3" s="9"/>
      <c r="P3" s="10"/>
      <c r="Q3" s="11"/>
    </row>
    <row r="4" customFormat="false" ht="15" hidden="false" customHeight="false" outlineLevel="0" collapsed="false">
      <c r="A4" s="5" t="n">
        <v>3</v>
      </c>
      <c r="B4" s="5" t="n">
        <v>1</v>
      </c>
      <c r="C4" s="5" t="n">
        <v>1</v>
      </c>
      <c r="D4" s="6" t="s">
        <v>43</v>
      </c>
      <c r="E4" s="6" t="s">
        <v>52</v>
      </c>
      <c r="F4" s="5" t="n">
        <v>414</v>
      </c>
      <c r="G4" s="5" t="s">
        <v>46</v>
      </c>
      <c r="H4" s="5" t="s">
        <v>47</v>
      </c>
      <c r="I4" s="7" t="s">
        <v>49</v>
      </c>
      <c r="J4" s="5" t="s">
        <v>45</v>
      </c>
      <c r="K4" s="8" t="n">
        <f aca="false">Progress!$B$3+(B4-1)*7+(C4-1)</f>
        <v>46326</v>
      </c>
      <c r="L4" s="9" t="s">
        <v>50</v>
      </c>
      <c r="M4" s="10"/>
      <c r="N4" s="9"/>
      <c r="O4" s="9"/>
      <c r="P4" s="10"/>
      <c r="Q4" s="11"/>
    </row>
    <row r="5" customFormat="false" ht="15" hidden="false" customHeight="false" outlineLevel="0" collapsed="false">
      <c r="A5" s="5" t="n">
        <v>4</v>
      </c>
      <c r="B5" s="5" t="n">
        <v>1</v>
      </c>
      <c r="C5" s="5" t="n">
        <v>2</v>
      </c>
      <c r="D5" s="6" t="s">
        <v>53</v>
      </c>
      <c r="E5" s="6" t="s">
        <v>54</v>
      </c>
      <c r="F5" s="5" t="n">
        <v>1752</v>
      </c>
      <c r="G5" s="5" t="s">
        <v>46</v>
      </c>
      <c r="H5" s="5" t="s">
        <v>47</v>
      </c>
      <c r="I5" s="7" t="s">
        <v>49</v>
      </c>
      <c r="J5" s="5" t="s">
        <v>45</v>
      </c>
      <c r="K5" s="8" t="n">
        <f aca="false">Progress!$B$3+(B5-1)*7+(C5-1)</f>
        <v>46327</v>
      </c>
      <c r="L5" s="9" t="s">
        <v>50</v>
      </c>
      <c r="M5" s="10"/>
      <c r="N5" s="9"/>
      <c r="O5" s="9"/>
      <c r="P5" s="10"/>
      <c r="Q5" s="11"/>
    </row>
    <row r="6" customFormat="false" ht="15" hidden="false" customHeight="false" outlineLevel="0" collapsed="false">
      <c r="A6" s="5" t="n">
        <v>5</v>
      </c>
      <c r="B6" s="5" t="n">
        <v>1</v>
      </c>
      <c r="C6" s="5" t="n">
        <v>2</v>
      </c>
      <c r="D6" s="6" t="s">
        <v>53</v>
      </c>
      <c r="E6" s="6" t="s">
        <v>55</v>
      </c>
      <c r="F6" s="5" t="n">
        <v>344</v>
      </c>
      <c r="G6" s="5" t="s">
        <v>46</v>
      </c>
      <c r="H6" s="5" t="s">
        <v>47</v>
      </c>
      <c r="I6" s="7" t="s">
        <v>49</v>
      </c>
      <c r="J6" s="5" t="s">
        <v>45</v>
      </c>
      <c r="K6" s="8" t="n">
        <f aca="false">Progress!$B$3+(B6-1)*7+(C6-1)</f>
        <v>46327</v>
      </c>
      <c r="L6" s="9" t="s">
        <v>50</v>
      </c>
      <c r="M6" s="10"/>
      <c r="N6" s="9"/>
      <c r="O6" s="9"/>
      <c r="P6" s="10"/>
      <c r="Q6" s="11"/>
    </row>
    <row r="7" customFormat="false" ht="15" hidden="false" customHeight="false" outlineLevel="0" collapsed="false">
      <c r="A7" s="5" t="n">
        <v>6</v>
      </c>
      <c r="B7" s="5" t="n">
        <v>1</v>
      </c>
      <c r="C7" s="5" t="n">
        <v>2</v>
      </c>
      <c r="D7" s="6" t="s">
        <v>53</v>
      </c>
      <c r="E7" s="6" t="s">
        <v>56</v>
      </c>
      <c r="F7" s="5" t="n">
        <v>283</v>
      </c>
      <c r="G7" s="5" t="s">
        <v>46</v>
      </c>
      <c r="H7" s="5" t="s">
        <v>47</v>
      </c>
      <c r="I7" s="7" t="s">
        <v>49</v>
      </c>
      <c r="J7" s="5" t="s">
        <v>45</v>
      </c>
      <c r="K7" s="8" t="n">
        <f aca="false">Progress!$B$3+(B7-1)*7+(C7-1)</f>
        <v>46327</v>
      </c>
      <c r="L7" s="9" t="s">
        <v>50</v>
      </c>
      <c r="M7" s="10"/>
      <c r="N7" s="9"/>
      <c r="O7" s="9"/>
      <c r="P7" s="10"/>
      <c r="Q7" s="11"/>
    </row>
    <row r="8" customFormat="false" ht="15" hidden="false" customHeight="false" outlineLevel="0" collapsed="false">
      <c r="A8" s="5" t="n">
        <v>7</v>
      </c>
      <c r="B8" s="5" t="n">
        <v>1</v>
      </c>
      <c r="C8" s="5" t="n">
        <v>3</v>
      </c>
      <c r="D8" s="6" t="s">
        <v>57</v>
      </c>
      <c r="E8" s="6" t="s">
        <v>58</v>
      </c>
      <c r="F8" s="5" t="n">
        <v>189</v>
      </c>
      <c r="G8" s="5" t="s">
        <v>59</v>
      </c>
      <c r="H8" s="5" t="s">
        <v>47</v>
      </c>
      <c r="I8" s="7" t="s">
        <v>49</v>
      </c>
      <c r="J8" s="5" t="s">
        <v>45</v>
      </c>
      <c r="K8" s="8" t="n">
        <f aca="false">Progress!$B$3+(B8-1)*7+(C8-1)</f>
        <v>46328</v>
      </c>
      <c r="L8" s="9" t="s">
        <v>50</v>
      </c>
      <c r="M8" s="10"/>
      <c r="N8" s="9"/>
      <c r="O8" s="9"/>
      <c r="P8" s="10"/>
      <c r="Q8" s="11"/>
    </row>
    <row r="9" customFormat="false" ht="15" hidden="false" customHeight="false" outlineLevel="0" collapsed="false">
      <c r="A9" s="5" t="n">
        <v>8</v>
      </c>
      <c r="B9" s="5" t="n">
        <v>1</v>
      </c>
      <c r="C9" s="5" t="n">
        <v>3</v>
      </c>
      <c r="D9" s="6" t="s">
        <v>57</v>
      </c>
      <c r="E9" s="6" t="s">
        <v>60</v>
      </c>
      <c r="F9" s="5" t="n">
        <v>1480</v>
      </c>
      <c r="G9" s="5" t="s">
        <v>46</v>
      </c>
      <c r="H9" s="5" t="s">
        <v>47</v>
      </c>
      <c r="I9" s="7" t="s">
        <v>49</v>
      </c>
      <c r="J9" s="5" t="s">
        <v>45</v>
      </c>
      <c r="K9" s="8" t="n">
        <f aca="false">Progress!$B$3+(B9-1)*7+(C9-1)</f>
        <v>46328</v>
      </c>
      <c r="L9" s="9" t="s">
        <v>50</v>
      </c>
      <c r="M9" s="10"/>
      <c r="N9" s="9"/>
      <c r="O9" s="9"/>
      <c r="P9" s="10"/>
      <c r="Q9" s="11"/>
    </row>
    <row r="10" customFormat="false" ht="15" hidden="false" customHeight="false" outlineLevel="0" collapsed="false">
      <c r="A10" s="5" t="n">
        <v>9</v>
      </c>
      <c r="B10" s="5" t="n">
        <v>1</v>
      </c>
      <c r="C10" s="5" t="n">
        <v>3</v>
      </c>
      <c r="D10" s="6" t="s">
        <v>57</v>
      </c>
      <c r="E10" s="6" t="s">
        <v>61</v>
      </c>
      <c r="F10" s="5" t="n">
        <v>1672</v>
      </c>
      <c r="G10" s="5" t="s">
        <v>46</v>
      </c>
      <c r="H10" s="5" t="s">
        <v>47</v>
      </c>
      <c r="I10" s="7" t="s">
        <v>49</v>
      </c>
      <c r="J10" s="5" t="s">
        <v>45</v>
      </c>
      <c r="K10" s="8" t="n">
        <f aca="false">Progress!$B$3+(B10-1)*7+(C10-1)</f>
        <v>46328</v>
      </c>
      <c r="L10" s="9" t="s">
        <v>50</v>
      </c>
      <c r="M10" s="10"/>
      <c r="N10" s="9"/>
      <c r="O10" s="9"/>
      <c r="P10" s="10"/>
      <c r="Q10" s="11"/>
    </row>
    <row r="11" customFormat="false" ht="15" hidden="false" customHeight="false" outlineLevel="0" collapsed="false">
      <c r="A11" s="5" t="n">
        <v>10</v>
      </c>
      <c r="B11" s="5" t="n">
        <v>1</v>
      </c>
      <c r="C11" s="5" t="n">
        <v>4</v>
      </c>
      <c r="D11" s="6" t="s">
        <v>62</v>
      </c>
      <c r="E11" s="6" t="s">
        <v>63</v>
      </c>
      <c r="F11" s="5" t="n">
        <v>125</v>
      </c>
      <c r="G11" s="5" t="s">
        <v>46</v>
      </c>
      <c r="H11" s="5" t="s">
        <v>47</v>
      </c>
      <c r="I11" s="7" t="s">
        <v>49</v>
      </c>
      <c r="J11" s="5" t="s">
        <v>45</v>
      </c>
      <c r="K11" s="8" t="n">
        <f aca="false">Progress!$B$3+(B11-1)*7+(C11-1)</f>
        <v>46329</v>
      </c>
      <c r="L11" s="9" t="s">
        <v>50</v>
      </c>
      <c r="M11" s="10"/>
      <c r="N11" s="9"/>
      <c r="O11" s="9"/>
      <c r="P11" s="10"/>
      <c r="Q11" s="11"/>
    </row>
    <row r="12" customFormat="false" ht="15" hidden="false" customHeight="false" outlineLevel="0" collapsed="false">
      <c r="A12" s="5" t="n">
        <v>11</v>
      </c>
      <c r="B12" s="5" t="n">
        <v>1</v>
      </c>
      <c r="C12" s="5" t="n">
        <v>4</v>
      </c>
      <c r="D12" s="6" t="s">
        <v>62</v>
      </c>
      <c r="E12" s="6" t="s">
        <v>64</v>
      </c>
      <c r="F12" s="5" t="n">
        <v>14</v>
      </c>
      <c r="G12" s="5" t="s">
        <v>46</v>
      </c>
      <c r="H12" s="5" t="s">
        <v>47</v>
      </c>
      <c r="I12" s="7" t="s">
        <v>49</v>
      </c>
      <c r="J12" s="7" t="s">
        <v>49</v>
      </c>
      <c r="K12" s="8" t="n">
        <f aca="false">Progress!$B$3+(B12-1)*7+(C12-1)</f>
        <v>46329</v>
      </c>
      <c r="L12" s="9" t="s">
        <v>50</v>
      </c>
      <c r="M12" s="10"/>
      <c r="N12" s="9"/>
      <c r="O12" s="9"/>
      <c r="P12" s="10"/>
      <c r="Q12" s="11"/>
    </row>
    <row r="13" customFormat="false" ht="15" hidden="false" customHeight="false" outlineLevel="0" collapsed="false">
      <c r="A13" s="5" t="n">
        <v>12</v>
      </c>
      <c r="B13" s="5" t="n">
        <v>1</v>
      </c>
      <c r="C13" s="5" t="n">
        <v>4</v>
      </c>
      <c r="D13" s="6" t="s">
        <v>62</v>
      </c>
      <c r="E13" s="6" t="s">
        <v>65</v>
      </c>
      <c r="F13" s="5" t="n">
        <v>1768</v>
      </c>
      <c r="G13" s="5" t="s">
        <v>46</v>
      </c>
      <c r="H13" s="5" t="s">
        <v>47</v>
      </c>
      <c r="I13" s="7" t="s">
        <v>49</v>
      </c>
      <c r="J13" s="5" t="s">
        <v>45</v>
      </c>
      <c r="K13" s="8" t="n">
        <f aca="false">Progress!$B$3+(B13-1)*7+(C13-1)</f>
        <v>46329</v>
      </c>
      <c r="L13" s="9" t="s">
        <v>50</v>
      </c>
      <c r="M13" s="10"/>
      <c r="N13" s="9"/>
      <c r="O13" s="9"/>
      <c r="P13" s="10"/>
      <c r="Q13" s="11"/>
    </row>
    <row r="14" customFormat="false" ht="15" hidden="false" customHeight="false" outlineLevel="0" collapsed="false">
      <c r="A14" s="5" t="n">
        <v>13</v>
      </c>
      <c r="B14" s="5" t="n">
        <v>1</v>
      </c>
      <c r="C14" s="5" t="n">
        <v>5</v>
      </c>
      <c r="D14" s="6" t="s">
        <v>66</v>
      </c>
      <c r="E14" s="6" t="s">
        <v>67</v>
      </c>
      <c r="F14" s="5" t="n">
        <v>242</v>
      </c>
      <c r="G14" s="5" t="s">
        <v>46</v>
      </c>
      <c r="H14" s="5" t="s">
        <v>47</v>
      </c>
      <c r="I14" s="7" t="s">
        <v>49</v>
      </c>
      <c r="J14" s="5" t="s">
        <v>45</v>
      </c>
      <c r="K14" s="8" t="n">
        <f aca="false">Progress!$B$3+(B14-1)*7+(C14-1)</f>
        <v>46330</v>
      </c>
      <c r="L14" s="9" t="s">
        <v>50</v>
      </c>
      <c r="M14" s="10"/>
      <c r="N14" s="9"/>
      <c r="O14" s="9"/>
      <c r="P14" s="10"/>
      <c r="Q14" s="11"/>
    </row>
    <row r="15" customFormat="false" ht="15" hidden="false" customHeight="false" outlineLevel="0" collapsed="false">
      <c r="A15" s="5" t="n">
        <v>14</v>
      </c>
      <c r="B15" s="5" t="n">
        <v>1</v>
      </c>
      <c r="C15" s="5" t="n">
        <v>5</v>
      </c>
      <c r="D15" s="6" t="s">
        <v>66</v>
      </c>
      <c r="E15" s="6" t="s">
        <v>68</v>
      </c>
      <c r="F15" s="5" t="n">
        <v>387</v>
      </c>
      <c r="G15" s="5" t="s">
        <v>46</v>
      </c>
      <c r="H15" s="5" t="s">
        <v>47</v>
      </c>
      <c r="I15" s="7" t="s">
        <v>49</v>
      </c>
      <c r="J15" s="5" t="s">
        <v>45</v>
      </c>
      <c r="K15" s="8" t="n">
        <f aca="false">Progress!$B$3+(B15-1)*7+(C15-1)</f>
        <v>46330</v>
      </c>
      <c r="L15" s="9" t="s">
        <v>50</v>
      </c>
      <c r="M15" s="10"/>
      <c r="N15" s="9"/>
      <c r="O15" s="9"/>
      <c r="P15" s="10"/>
      <c r="Q15" s="11"/>
    </row>
    <row r="16" customFormat="false" ht="15" hidden="false" customHeight="false" outlineLevel="0" collapsed="false">
      <c r="A16" s="5" t="n">
        <v>15</v>
      </c>
      <c r="B16" s="5" t="n">
        <v>1</v>
      </c>
      <c r="C16" s="5" t="n">
        <v>5</v>
      </c>
      <c r="D16" s="6" t="s">
        <v>66</v>
      </c>
      <c r="E16" s="6" t="s">
        <v>69</v>
      </c>
      <c r="F16" s="5" t="n">
        <v>383</v>
      </c>
      <c r="G16" s="5" t="s">
        <v>46</v>
      </c>
      <c r="H16" s="5" t="s">
        <v>47</v>
      </c>
      <c r="I16" s="7" t="s">
        <v>49</v>
      </c>
      <c r="J16" s="5" t="s">
        <v>45</v>
      </c>
      <c r="K16" s="8" t="n">
        <f aca="false">Progress!$B$3+(B16-1)*7+(C16-1)</f>
        <v>46330</v>
      </c>
      <c r="L16" s="9" t="s">
        <v>50</v>
      </c>
      <c r="M16" s="10"/>
      <c r="N16" s="9"/>
      <c r="O16" s="9"/>
      <c r="P16" s="10"/>
      <c r="Q16" s="11"/>
    </row>
    <row r="17" customFormat="false" ht="15" hidden="false" customHeight="false" outlineLevel="0" collapsed="false">
      <c r="A17" s="5" t="n">
        <v>16</v>
      </c>
      <c r="B17" s="5" t="n">
        <v>1</v>
      </c>
      <c r="C17" s="5" t="n">
        <v>6</v>
      </c>
      <c r="D17" s="6" t="s">
        <v>70</v>
      </c>
      <c r="E17" s="6" t="s">
        <v>71</v>
      </c>
      <c r="F17" s="5" t="n">
        <v>268</v>
      </c>
      <c r="G17" s="5" t="s">
        <v>46</v>
      </c>
      <c r="H17" s="5" t="s">
        <v>47</v>
      </c>
      <c r="I17" s="7" t="s">
        <v>49</v>
      </c>
      <c r="J17" s="7" t="s">
        <v>49</v>
      </c>
      <c r="K17" s="8" t="n">
        <f aca="false">Progress!$B$3+(B17-1)*7+(C17-1)</f>
        <v>46331</v>
      </c>
      <c r="L17" s="9" t="s">
        <v>50</v>
      </c>
      <c r="M17" s="10"/>
      <c r="N17" s="9"/>
      <c r="O17" s="9"/>
      <c r="P17" s="10"/>
      <c r="Q17" s="11"/>
    </row>
    <row r="18" customFormat="false" ht="15" hidden="false" customHeight="false" outlineLevel="0" collapsed="false">
      <c r="A18" s="5" t="n">
        <v>17</v>
      </c>
      <c r="B18" s="5" t="n">
        <v>1</v>
      </c>
      <c r="C18" s="5" t="n">
        <v>6</v>
      </c>
      <c r="D18" s="6" t="s">
        <v>70</v>
      </c>
      <c r="E18" s="6" t="s">
        <v>72</v>
      </c>
      <c r="F18" s="5" t="n">
        <v>136</v>
      </c>
      <c r="G18" s="5" t="s">
        <v>46</v>
      </c>
      <c r="H18" s="5" t="s">
        <v>47</v>
      </c>
      <c r="I18" s="7" t="s">
        <v>49</v>
      </c>
      <c r="J18" s="5" t="s">
        <v>45</v>
      </c>
      <c r="K18" s="8" t="n">
        <f aca="false">Progress!$B$3+(B18-1)*7+(C18-1)</f>
        <v>46331</v>
      </c>
      <c r="L18" s="9" t="s">
        <v>50</v>
      </c>
      <c r="M18" s="10"/>
      <c r="N18" s="9"/>
      <c r="O18" s="9"/>
      <c r="P18" s="10"/>
      <c r="Q18" s="11"/>
    </row>
    <row r="19" customFormat="false" ht="15" hidden="false" customHeight="false" outlineLevel="0" collapsed="false">
      <c r="A19" s="5" t="n">
        <v>18</v>
      </c>
      <c r="B19" s="5" t="n">
        <v>1</v>
      </c>
      <c r="C19" s="5" t="n">
        <v>6</v>
      </c>
      <c r="D19" s="6" t="s">
        <v>70</v>
      </c>
      <c r="E19" s="6" t="s">
        <v>73</v>
      </c>
      <c r="F19" s="5" t="n">
        <v>724</v>
      </c>
      <c r="G19" s="5" t="s">
        <v>46</v>
      </c>
      <c r="H19" s="5" t="s">
        <v>47</v>
      </c>
      <c r="I19" s="7" t="s">
        <v>49</v>
      </c>
      <c r="J19" s="5" t="s">
        <v>45</v>
      </c>
      <c r="K19" s="8" t="n">
        <f aca="false">Progress!$B$3+(B19-1)*7+(C19-1)</f>
        <v>46331</v>
      </c>
      <c r="L19" s="9" t="s">
        <v>50</v>
      </c>
      <c r="M19" s="10"/>
      <c r="N19" s="9"/>
      <c r="O19" s="9"/>
      <c r="P19" s="10"/>
      <c r="Q19" s="11"/>
    </row>
    <row r="20" customFormat="false" ht="15" hidden="false" customHeight="false" outlineLevel="0" collapsed="false">
      <c r="A20" s="5" t="n">
        <v>19</v>
      </c>
      <c r="B20" s="5" t="n">
        <v>2</v>
      </c>
      <c r="C20" s="5" t="n">
        <v>1</v>
      </c>
      <c r="D20" s="6" t="s">
        <v>74</v>
      </c>
      <c r="E20" s="6" t="s">
        <v>75</v>
      </c>
      <c r="F20" s="5" t="n">
        <v>217</v>
      </c>
      <c r="G20" s="5" t="s">
        <v>46</v>
      </c>
      <c r="H20" s="5" t="s">
        <v>47</v>
      </c>
      <c r="I20" s="7" t="s">
        <v>49</v>
      </c>
      <c r="J20" s="5" t="s">
        <v>45</v>
      </c>
      <c r="K20" s="8" t="n">
        <f aca="false">Progress!$B$3+(B20-1)*7+(C20-1)</f>
        <v>46333</v>
      </c>
      <c r="L20" s="9" t="s">
        <v>50</v>
      </c>
      <c r="M20" s="10"/>
      <c r="N20" s="9"/>
      <c r="O20" s="9"/>
      <c r="P20" s="10"/>
      <c r="Q20" s="11"/>
    </row>
    <row r="21" customFormat="false" ht="15" hidden="false" customHeight="false" outlineLevel="0" collapsed="false">
      <c r="A21" s="5" t="n">
        <v>20</v>
      </c>
      <c r="B21" s="5" t="n">
        <v>2</v>
      </c>
      <c r="C21" s="5" t="n">
        <v>1</v>
      </c>
      <c r="D21" s="6" t="s">
        <v>74</v>
      </c>
      <c r="E21" s="6" t="s">
        <v>76</v>
      </c>
      <c r="F21" s="5" t="n">
        <v>1</v>
      </c>
      <c r="G21" s="5" t="s">
        <v>46</v>
      </c>
      <c r="H21" s="5" t="s">
        <v>47</v>
      </c>
      <c r="I21" s="7" t="s">
        <v>49</v>
      </c>
      <c r="J21" s="5" t="s">
        <v>45</v>
      </c>
      <c r="K21" s="8" t="n">
        <f aca="false">Progress!$B$3+(B21-1)*7+(C21-1)</f>
        <v>46333</v>
      </c>
      <c r="L21" s="9" t="s">
        <v>50</v>
      </c>
      <c r="M21" s="10"/>
      <c r="N21" s="9"/>
      <c r="O21" s="9"/>
      <c r="P21" s="10"/>
      <c r="Q21" s="11"/>
    </row>
    <row r="22" customFormat="false" ht="15" hidden="false" customHeight="false" outlineLevel="0" collapsed="false">
      <c r="A22" s="5" t="n">
        <v>21</v>
      </c>
      <c r="B22" s="5" t="n">
        <v>2</v>
      </c>
      <c r="C22" s="5" t="n">
        <v>1</v>
      </c>
      <c r="D22" s="6" t="s">
        <v>74</v>
      </c>
      <c r="E22" s="6" t="s">
        <v>77</v>
      </c>
      <c r="F22" s="5" t="n">
        <v>349</v>
      </c>
      <c r="G22" s="5" t="s">
        <v>46</v>
      </c>
      <c r="H22" s="5" t="s">
        <v>47</v>
      </c>
      <c r="I22" s="7" t="s">
        <v>49</v>
      </c>
      <c r="J22" s="5" t="s">
        <v>45</v>
      </c>
      <c r="K22" s="8" t="n">
        <f aca="false">Progress!$B$3+(B22-1)*7+(C22-1)</f>
        <v>46333</v>
      </c>
      <c r="L22" s="9" t="s">
        <v>50</v>
      </c>
      <c r="M22" s="10"/>
      <c r="N22" s="9"/>
      <c r="O22" s="9"/>
      <c r="P22" s="10"/>
      <c r="Q22" s="11"/>
    </row>
    <row r="23" customFormat="false" ht="15" hidden="false" customHeight="false" outlineLevel="0" collapsed="false">
      <c r="A23" s="5" t="n">
        <v>22</v>
      </c>
      <c r="B23" s="5" t="n">
        <v>2</v>
      </c>
      <c r="C23" s="5" t="n">
        <v>2</v>
      </c>
      <c r="D23" s="6" t="s">
        <v>78</v>
      </c>
      <c r="E23" s="6" t="s">
        <v>79</v>
      </c>
      <c r="F23" s="5" t="n">
        <v>205</v>
      </c>
      <c r="G23" s="5" t="s">
        <v>46</v>
      </c>
      <c r="H23" s="5" t="s">
        <v>47</v>
      </c>
      <c r="I23" s="7" t="s">
        <v>49</v>
      </c>
      <c r="J23" s="5" t="s">
        <v>45</v>
      </c>
      <c r="K23" s="8" t="n">
        <f aca="false">Progress!$B$3+(B23-1)*7+(C23-1)</f>
        <v>46334</v>
      </c>
      <c r="L23" s="9" t="s">
        <v>50</v>
      </c>
      <c r="M23" s="10"/>
      <c r="N23" s="9"/>
      <c r="O23" s="9"/>
      <c r="P23" s="10"/>
      <c r="Q23" s="11"/>
    </row>
    <row r="24" customFormat="false" ht="15" hidden="false" customHeight="false" outlineLevel="0" collapsed="false">
      <c r="A24" s="5" t="n">
        <v>23</v>
      </c>
      <c r="B24" s="5" t="n">
        <v>2</v>
      </c>
      <c r="C24" s="5" t="n">
        <v>2</v>
      </c>
      <c r="D24" s="6" t="s">
        <v>78</v>
      </c>
      <c r="E24" s="6" t="s">
        <v>80</v>
      </c>
      <c r="F24" s="5" t="n">
        <v>290</v>
      </c>
      <c r="G24" s="5" t="s">
        <v>46</v>
      </c>
      <c r="H24" s="5" t="s">
        <v>47</v>
      </c>
      <c r="I24" s="7" t="s">
        <v>49</v>
      </c>
      <c r="J24" s="5" t="s">
        <v>45</v>
      </c>
      <c r="K24" s="8" t="n">
        <f aca="false">Progress!$B$3+(B24-1)*7+(C24-1)</f>
        <v>46334</v>
      </c>
      <c r="L24" s="9" t="s">
        <v>50</v>
      </c>
      <c r="M24" s="10"/>
      <c r="N24" s="9"/>
      <c r="O24" s="9"/>
      <c r="P24" s="10"/>
      <c r="Q24" s="11"/>
    </row>
    <row r="25" customFormat="false" ht="15" hidden="false" customHeight="false" outlineLevel="0" collapsed="false">
      <c r="A25" s="5" t="n">
        <v>24</v>
      </c>
      <c r="B25" s="5" t="n">
        <v>2</v>
      </c>
      <c r="C25" s="5" t="n">
        <v>2</v>
      </c>
      <c r="D25" s="6" t="s">
        <v>78</v>
      </c>
      <c r="E25" s="6" t="s">
        <v>81</v>
      </c>
      <c r="F25" s="5" t="n">
        <v>169</v>
      </c>
      <c r="G25" s="5" t="s">
        <v>46</v>
      </c>
      <c r="H25" s="5" t="s">
        <v>47</v>
      </c>
      <c r="I25" s="7" t="s">
        <v>49</v>
      </c>
      <c r="J25" s="7" t="s">
        <v>49</v>
      </c>
      <c r="K25" s="8" t="n">
        <f aca="false">Progress!$B$3+(B25-1)*7+(C25-1)</f>
        <v>46334</v>
      </c>
      <c r="L25" s="9" t="s">
        <v>50</v>
      </c>
      <c r="M25" s="10"/>
      <c r="N25" s="9"/>
      <c r="O25" s="9"/>
      <c r="P25" s="10"/>
      <c r="Q25" s="11"/>
    </row>
    <row r="26" customFormat="false" ht="15" hidden="false" customHeight="false" outlineLevel="0" collapsed="false">
      <c r="A26" s="5" t="n">
        <v>25</v>
      </c>
      <c r="B26" s="5" t="n">
        <v>2</v>
      </c>
      <c r="C26" s="5" t="n">
        <v>3</v>
      </c>
      <c r="D26" s="6" t="s">
        <v>82</v>
      </c>
      <c r="E26" s="6" t="s">
        <v>83</v>
      </c>
      <c r="F26" s="5" t="n">
        <v>49</v>
      </c>
      <c r="G26" s="5" t="s">
        <v>59</v>
      </c>
      <c r="H26" s="5" t="s">
        <v>47</v>
      </c>
      <c r="I26" s="7" t="s">
        <v>49</v>
      </c>
      <c r="J26" s="7" t="s">
        <v>49</v>
      </c>
      <c r="K26" s="8" t="n">
        <f aca="false">Progress!$B$3+(B26-1)*7+(C26-1)</f>
        <v>46335</v>
      </c>
      <c r="L26" s="9" t="s">
        <v>50</v>
      </c>
      <c r="M26" s="10"/>
      <c r="N26" s="9"/>
      <c r="O26" s="9"/>
      <c r="P26" s="10"/>
      <c r="Q26" s="11"/>
    </row>
    <row r="27" customFormat="false" ht="15" hidden="false" customHeight="false" outlineLevel="0" collapsed="false">
      <c r="A27" s="5" t="n">
        <v>26</v>
      </c>
      <c r="B27" s="5" t="n">
        <v>2</v>
      </c>
      <c r="C27" s="5" t="n">
        <v>3</v>
      </c>
      <c r="D27" s="6" t="s">
        <v>82</v>
      </c>
      <c r="E27" s="6" t="s">
        <v>84</v>
      </c>
      <c r="F27" s="5" t="n">
        <v>202</v>
      </c>
      <c r="G27" s="5" t="s">
        <v>46</v>
      </c>
      <c r="H27" s="5" t="s">
        <v>47</v>
      </c>
      <c r="I27" s="7" t="s">
        <v>49</v>
      </c>
      <c r="J27" s="5" t="s">
        <v>45</v>
      </c>
      <c r="K27" s="8" t="n">
        <f aca="false">Progress!$B$3+(B27-1)*7+(C27-1)</f>
        <v>46335</v>
      </c>
      <c r="L27" s="9" t="s">
        <v>50</v>
      </c>
      <c r="M27" s="10"/>
      <c r="N27" s="9"/>
      <c r="O27" s="9"/>
      <c r="P27" s="10"/>
      <c r="Q27" s="11"/>
    </row>
    <row r="28" customFormat="false" ht="15" hidden="false" customHeight="false" outlineLevel="0" collapsed="false">
      <c r="A28" s="5" t="n">
        <v>27</v>
      </c>
      <c r="B28" s="5" t="n">
        <v>2</v>
      </c>
      <c r="C28" s="5" t="n">
        <v>3</v>
      </c>
      <c r="D28" s="6" t="s">
        <v>82</v>
      </c>
      <c r="E28" s="6" t="s">
        <v>85</v>
      </c>
      <c r="F28" s="5" t="n">
        <v>347</v>
      </c>
      <c r="G28" s="5" t="s">
        <v>59</v>
      </c>
      <c r="H28" s="5" t="s">
        <v>47</v>
      </c>
      <c r="I28" s="7" t="s">
        <v>49</v>
      </c>
      <c r="J28" s="7" t="s">
        <v>49</v>
      </c>
      <c r="K28" s="8" t="n">
        <f aca="false">Progress!$B$3+(B28-1)*7+(C28-1)</f>
        <v>46335</v>
      </c>
      <c r="L28" s="9" t="s">
        <v>50</v>
      </c>
      <c r="M28" s="10"/>
      <c r="N28" s="9"/>
      <c r="O28" s="9"/>
      <c r="P28" s="10"/>
      <c r="Q28" s="11"/>
    </row>
    <row r="29" customFormat="false" ht="15" hidden="false" customHeight="false" outlineLevel="0" collapsed="false">
      <c r="A29" s="5" t="n">
        <v>28</v>
      </c>
      <c r="B29" s="5" t="n">
        <v>2</v>
      </c>
      <c r="C29" s="5" t="n">
        <v>4</v>
      </c>
      <c r="D29" s="6" t="s">
        <v>86</v>
      </c>
      <c r="E29" s="6" t="s">
        <v>87</v>
      </c>
      <c r="F29" s="5" t="n">
        <v>53</v>
      </c>
      <c r="G29" s="5" t="s">
        <v>59</v>
      </c>
      <c r="H29" s="5" t="s">
        <v>47</v>
      </c>
      <c r="I29" s="7" t="s">
        <v>49</v>
      </c>
      <c r="J29" s="7" t="s">
        <v>49</v>
      </c>
      <c r="K29" s="8" t="n">
        <f aca="false">Progress!$B$3+(B29-1)*7+(C29-1)</f>
        <v>46336</v>
      </c>
      <c r="L29" s="9" t="s">
        <v>50</v>
      </c>
      <c r="M29" s="10"/>
      <c r="N29" s="9"/>
      <c r="O29" s="9"/>
      <c r="P29" s="10"/>
      <c r="Q29" s="11"/>
    </row>
    <row r="30" customFormat="false" ht="15" hidden="false" customHeight="false" outlineLevel="0" collapsed="false">
      <c r="A30" s="5" t="n">
        <v>29</v>
      </c>
      <c r="B30" s="5" t="n">
        <v>2</v>
      </c>
      <c r="C30" s="5" t="n">
        <v>4</v>
      </c>
      <c r="D30" s="6" t="s">
        <v>86</v>
      </c>
      <c r="E30" s="6" t="s">
        <v>88</v>
      </c>
      <c r="F30" s="5" t="n">
        <v>121</v>
      </c>
      <c r="G30" s="5" t="s">
        <v>46</v>
      </c>
      <c r="H30" s="5" t="s">
        <v>47</v>
      </c>
      <c r="I30" s="7" t="s">
        <v>49</v>
      </c>
      <c r="J30" s="7" t="s">
        <v>49</v>
      </c>
      <c r="K30" s="8" t="n">
        <f aca="false">Progress!$B$3+(B30-1)*7+(C30-1)</f>
        <v>46336</v>
      </c>
      <c r="L30" s="9" t="s">
        <v>50</v>
      </c>
      <c r="M30" s="10"/>
      <c r="N30" s="9"/>
      <c r="O30" s="9"/>
      <c r="P30" s="10"/>
      <c r="Q30" s="11"/>
    </row>
    <row r="31" customFormat="false" ht="15" hidden="false" customHeight="false" outlineLevel="0" collapsed="false">
      <c r="A31" s="5" t="n">
        <v>30</v>
      </c>
      <c r="B31" s="5" t="n">
        <v>2</v>
      </c>
      <c r="C31" s="5" t="n">
        <v>4</v>
      </c>
      <c r="D31" s="6" t="s">
        <v>86</v>
      </c>
      <c r="E31" s="6" t="s">
        <v>89</v>
      </c>
      <c r="F31" s="5" t="n">
        <v>560</v>
      </c>
      <c r="G31" s="5" t="s">
        <v>59</v>
      </c>
      <c r="H31" s="5" t="s">
        <v>47</v>
      </c>
      <c r="I31" s="7" t="s">
        <v>49</v>
      </c>
      <c r="J31" s="5" t="s">
        <v>45</v>
      </c>
      <c r="K31" s="8" t="n">
        <f aca="false">Progress!$B$3+(B31-1)*7+(C31-1)</f>
        <v>46336</v>
      </c>
      <c r="L31" s="9" t="s">
        <v>50</v>
      </c>
      <c r="M31" s="10"/>
      <c r="N31" s="9"/>
      <c r="O31" s="9"/>
      <c r="P31" s="10"/>
      <c r="Q31" s="11"/>
    </row>
    <row r="32" customFormat="false" ht="15" hidden="false" customHeight="false" outlineLevel="0" collapsed="false">
      <c r="A32" s="5" t="n">
        <v>31</v>
      </c>
      <c r="B32" s="5" t="n">
        <v>2</v>
      </c>
      <c r="C32" s="5" t="n">
        <v>5</v>
      </c>
      <c r="D32" s="6" t="s">
        <v>90</v>
      </c>
      <c r="E32" s="6" t="s">
        <v>91</v>
      </c>
      <c r="F32" s="5" t="n">
        <v>238</v>
      </c>
      <c r="G32" s="5" t="s">
        <v>59</v>
      </c>
      <c r="H32" s="5" t="s">
        <v>47</v>
      </c>
      <c r="I32" s="7" t="s">
        <v>49</v>
      </c>
      <c r="J32" s="5" t="s">
        <v>45</v>
      </c>
      <c r="K32" s="8" t="n">
        <f aca="false">Progress!$B$3+(B32-1)*7+(C32-1)</f>
        <v>46337</v>
      </c>
      <c r="L32" s="9" t="s">
        <v>50</v>
      </c>
      <c r="M32" s="10"/>
      <c r="N32" s="9"/>
      <c r="O32" s="9"/>
      <c r="P32" s="10"/>
      <c r="Q32" s="11"/>
    </row>
    <row r="33" customFormat="false" ht="15" hidden="false" customHeight="false" outlineLevel="0" collapsed="false">
      <c r="A33" s="5" t="n">
        <v>32</v>
      </c>
      <c r="B33" s="5" t="n">
        <v>2</v>
      </c>
      <c r="C33" s="5" t="n">
        <v>5</v>
      </c>
      <c r="D33" s="6" t="s">
        <v>90</v>
      </c>
      <c r="E33" s="6" t="s">
        <v>92</v>
      </c>
      <c r="F33" s="5" t="n">
        <v>128</v>
      </c>
      <c r="G33" s="5" t="s">
        <v>59</v>
      </c>
      <c r="H33" s="5" t="s">
        <v>47</v>
      </c>
      <c r="I33" s="7" t="s">
        <v>49</v>
      </c>
      <c r="J33" s="5" t="s">
        <v>45</v>
      </c>
      <c r="K33" s="8" t="n">
        <f aca="false">Progress!$B$3+(B33-1)*7+(C33-1)</f>
        <v>46337</v>
      </c>
      <c r="L33" s="9" t="s">
        <v>50</v>
      </c>
      <c r="M33" s="10"/>
      <c r="N33" s="9"/>
      <c r="O33" s="9"/>
      <c r="P33" s="10"/>
      <c r="Q33" s="11"/>
    </row>
    <row r="34" customFormat="false" ht="15" hidden="false" customHeight="false" outlineLevel="0" collapsed="false">
      <c r="A34" s="5" t="n">
        <v>33</v>
      </c>
      <c r="B34" s="5" t="n">
        <v>2</v>
      </c>
      <c r="C34" s="5" t="n">
        <v>5</v>
      </c>
      <c r="D34" s="6" t="s">
        <v>90</v>
      </c>
      <c r="E34" s="6" t="s">
        <v>93</v>
      </c>
      <c r="F34" s="5" t="n">
        <v>88</v>
      </c>
      <c r="G34" s="5" t="s">
        <v>46</v>
      </c>
      <c r="H34" s="5" t="s">
        <v>47</v>
      </c>
      <c r="I34" s="7" t="s">
        <v>49</v>
      </c>
      <c r="J34" s="5" t="s">
        <v>45</v>
      </c>
      <c r="K34" s="8" t="n">
        <f aca="false">Progress!$B$3+(B34-1)*7+(C34-1)</f>
        <v>46337</v>
      </c>
      <c r="L34" s="9" t="s">
        <v>50</v>
      </c>
      <c r="M34" s="10"/>
      <c r="N34" s="9"/>
      <c r="O34" s="9"/>
      <c r="P34" s="10"/>
      <c r="Q34" s="11"/>
    </row>
    <row r="35" customFormat="false" ht="15" hidden="false" customHeight="false" outlineLevel="0" collapsed="false">
      <c r="A35" s="5" t="n">
        <v>34</v>
      </c>
      <c r="B35" s="5" t="n">
        <v>2</v>
      </c>
      <c r="C35" s="5" t="n">
        <v>6</v>
      </c>
      <c r="D35" s="6" t="s">
        <v>94</v>
      </c>
      <c r="E35" s="6" t="s">
        <v>95</v>
      </c>
      <c r="F35" s="5" t="n">
        <v>75</v>
      </c>
      <c r="G35" s="5" t="s">
        <v>59</v>
      </c>
      <c r="H35" s="5" t="s">
        <v>47</v>
      </c>
      <c r="I35" s="7" t="s">
        <v>49</v>
      </c>
      <c r="J35" s="5" t="s">
        <v>45</v>
      </c>
      <c r="K35" s="8" t="n">
        <f aca="false">Progress!$B$3+(B35-1)*7+(C35-1)</f>
        <v>46338</v>
      </c>
      <c r="L35" s="9" t="s">
        <v>50</v>
      </c>
      <c r="M35" s="10"/>
      <c r="N35" s="9"/>
      <c r="O35" s="9"/>
      <c r="P35" s="10"/>
      <c r="Q35" s="11"/>
    </row>
    <row r="36" customFormat="false" ht="15" hidden="false" customHeight="false" outlineLevel="0" collapsed="false">
      <c r="A36" s="5" t="n">
        <v>35</v>
      </c>
      <c r="B36" s="5" t="n">
        <v>2</v>
      </c>
      <c r="C36" s="5" t="n">
        <v>6</v>
      </c>
      <c r="D36" s="6" t="s">
        <v>94</v>
      </c>
      <c r="E36" s="6" t="s">
        <v>96</v>
      </c>
      <c r="F36" s="5" t="n">
        <v>26</v>
      </c>
      <c r="G36" s="5" t="s">
        <v>46</v>
      </c>
      <c r="H36" s="5" t="s">
        <v>47</v>
      </c>
      <c r="I36" s="7" t="s">
        <v>49</v>
      </c>
      <c r="J36" s="5" t="s">
        <v>45</v>
      </c>
      <c r="K36" s="8" t="n">
        <f aca="false">Progress!$B$3+(B36-1)*7+(C36-1)</f>
        <v>46338</v>
      </c>
      <c r="L36" s="9" t="s">
        <v>50</v>
      </c>
      <c r="M36" s="10"/>
      <c r="N36" s="9"/>
      <c r="O36" s="9"/>
      <c r="P36" s="10"/>
      <c r="Q36" s="11"/>
    </row>
    <row r="37" customFormat="false" ht="15" hidden="false" customHeight="false" outlineLevel="0" collapsed="false">
      <c r="A37" s="5" t="n">
        <v>36</v>
      </c>
      <c r="B37" s="5" t="n">
        <v>2</v>
      </c>
      <c r="C37" s="5" t="n">
        <v>6</v>
      </c>
      <c r="D37" s="6" t="s">
        <v>94</v>
      </c>
      <c r="E37" s="6" t="s">
        <v>97</v>
      </c>
      <c r="F37" s="5" t="n">
        <v>27</v>
      </c>
      <c r="G37" s="5" t="s">
        <v>46</v>
      </c>
      <c r="H37" s="5" t="s">
        <v>47</v>
      </c>
      <c r="I37" s="7" t="s">
        <v>49</v>
      </c>
      <c r="J37" s="5" t="s">
        <v>45</v>
      </c>
      <c r="K37" s="8" t="n">
        <f aca="false">Progress!$B$3+(B37-1)*7+(C37-1)</f>
        <v>46338</v>
      </c>
      <c r="L37" s="9" t="s">
        <v>50</v>
      </c>
      <c r="M37" s="10"/>
      <c r="N37" s="9"/>
      <c r="O37" s="9"/>
      <c r="P37" s="10"/>
      <c r="Q37" s="11"/>
    </row>
    <row r="38" customFormat="false" ht="15" hidden="false" customHeight="false" outlineLevel="0" collapsed="false">
      <c r="A38" s="5" t="n">
        <v>37</v>
      </c>
      <c r="B38" s="5" t="n">
        <v>3</v>
      </c>
      <c r="C38" s="5" t="n">
        <v>1</v>
      </c>
      <c r="D38" s="6" t="s">
        <v>98</v>
      </c>
      <c r="E38" s="6" t="s">
        <v>99</v>
      </c>
      <c r="F38" s="5" t="n">
        <v>167</v>
      </c>
      <c r="G38" s="5" t="s">
        <v>59</v>
      </c>
      <c r="H38" s="5" t="s">
        <v>47</v>
      </c>
      <c r="I38" s="7" t="s">
        <v>49</v>
      </c>
      <c r="J38" s="5" t="s">
        <v>45</v>
      </c>
      <c r="K38" s="8" t="n">
        <f aca="false">Progress!$B$3+(B38-1)*7+(C38-1)</f>
        <v>46340</v>
      </c>
      <c r="L38" s="9" t="s">
        <v>50</v>
      </c>
      <c r="M38" s="10"/>
      <c r="N38" s="9"/>
      <c r="O38" s="9"/>
      <c r="P38" s="10"/>
      <c r="Q38" s="11"/>
    </row>
    <row r="39" customFormat="false" ht="15" hidden="false" customHeight="false" outlineLevel="0" collapsed="false">
      <c r="A39" s="5" t="n">
        <v>38</v>
      </c>
      <c r="B39" s="5" t="n">
        <v>3</v>
      </c>
      <c r="C39" s="5" t="n">
        <v>1</v>
      </c>
      <c r="D39" s="6" t="s">
        <v>98</v>
      </c>
      <c r="E39" s="6" t="s">
        <v>100</v>
      </c>
      <c r="F39" s="5" t="n">
        <v>977</v>
      </c>
      <c r="G39" s="5" t="s">
        <v>46</v>
      </c>
      <c r="H39" s="5" t="s">
        <v>47</v>
      </c>
      <c r="I39" s="7" t="s">
        <v>49</v>
      </c>
      <c r="J39" s="5" t="s">
        <v>45</v>
      </c>
      <c r="K39" s="8" t="n">
        <f aca="false">Progress!$B$3+(B39-1)*7+(C39-1)</f>
        <v>46340</v>
      </c>
      <c r="L39" s="9" t="s">
        <v>50</v>
      </c>
      <c r="M39" s="10"/>
      <c r="N39" s="9"/>
      <c r="O39" s="9"/>
      <c r="P39" s="10"/>
      <c r="Q39" s="11"/>
    </row>
    <row r="40" customFormat="false" ht="15" hidden="false" customHeight="false" outlineLevel="0" collapsed="false">
      <c r="A40" s="5" t="n">
        <v>39</v>
      </c>
      <c r="B40" s="5" t="n">
        <v>3</v>
      </c>
      <c r="C40" s="5" t="n">
        <v>1</v>
      </c>
      <c r="D40" s="6" t="s">
        <v>98</v>
      </c>
      <c r="E40" s="6" t="s">
        <v>101</v>
      </c>
      <c r="F40" s="5" t="n">
        <v>680</v>
      </c>
      <c r="G40" s="5" t="s">
        <v>46</v>
      </c>
      <c r="H40" s="5" t="s">
        <v>47</v>
      </c>
      <c r="I40" s="7" t="s">
        <v>49</v>
      </c>
      <c r="J40" s="5" t="s">
        <v>45</v>
      </c>
      <c r="K40" s="8" t="n">
        <f aca="false">Progress!$B$3+(B40-1)*7+(C40-1)</f>
        <v>46340</v>
      </c>
      <c r="L40" s="9" t="s">
        <v>50</v>
      </c>
      <c r="M40" s="10"/>
      <c r="N40" s="9"/>
      <c r="O40" s="9"/>
      <c r="P40" s="10"/>
      <c r="Q40" s="11"/>
    </row>
    <row r="41" customFormat="false" ht="15" hidden="false" customHeight="false" outlineLevel="0" collapsed="false">
      <c r="A41" s="5" t="n">
        <v>40</v>
      </c>
      <c r="B41" s="5" t="n">
        <v>3</v>
      </c>
      <c r="C41" s="5" t="n">
        <v>2</v>
      </c>
      <c r="D41" s="6" t="s">
        <v>102</v>
      </c>
      <c r="E41" s="6" t="s">
        <v>103</v>
      </c>
      <c r="F41" s="5" t="n">
        <v>15</v>
      </c>
      <c r="G41" s="5" t="s">
        <v>59</v>
      </c>
      <c r="H41" s="5" t="s">
        <v>47</v>
      </c>
      <c r="I41" s="7" t="s">
        <v>49</v>
      </c>
      <c r="J41" s="5" t="s">
        <v>45</v>
      </c>
      <c r="K41" s="8" t="n">
        <f aca="false">Progress!$B$3+(B41-1)*7+(C41-1)</f>
        <v>46341</v>
      </c>
      <c r="L41" s="9" t="s">
        <v>50</v>
      </c>
      <c r="M41" s="10"/>
      <c r="N41" s="9"/>
      <c r="O41" s="9"/>
      <c r="P41" s="10"/>
      <c r="Q41" s="11"/>
    </row>
    <row r="42" customFormat="false" ht="15" hidden="false" customHeight="false" outlineLevel="0" collapsed="false">
      <c r="A42" s="5" t="n">
        <v>41</v>
      </c>
      <c r="B42" s="5" t="n">
        <v>3</v>
      </c>
      <c r="C42" s="5" t="n">
        <v>2</v>
      </c>
      <c r="D42" s="6" t="s">
        <v>102</v>
      </c>
      <c r="E42" s="6" t="s">
        <v>104</v>
      </c>
      <c r="F42" s="5" t="n">
        <v>11</v>
      </c>
      <c r="G42" s="5" t="s">
        <v>59</v>
      </c>
      <c r="H42" s="5" t="s">
        <v>47</v>
      </c>
      <c r="I42" s="7" t="s">
        <v>49</v>
      </c>
      <c r="J42" s="5" t="s">
        <v>45</v>
      </c>
      <c r="K42" s="8" t="n">
        <f aca="false">Progress!$B$3+(B42-1)*7+(C42-1)</f>
        <v>46341</v>
      </c>
      <c r="L42" s="9" t="s">
        <v>50</v>
      </c>
      <c r="M42" s="10"/>
      <c r="N42" s="9"/>
      <c r="O42" s="9"/>
      <c r="P42" s="10"/>
      <c r="Q42" s="11"/>
    </row>
    <row r="43" customFormat="false" ht="15" hidden="false" customHeight="false" outlineLevel="0" collapsed="false">
      <c r="A43" s="5" t="n">
        <v>42</v>
      </c>
      <c r="B43" s="5" t="n">
        <v>3</v>
      </c>
      <c r="C43" s="5" t="n">
        <v>2</v>
      </c>
      <c r="D43" s="6" t="s">
        <v>102</v>
      </c>
      <c r="E43" s="6" t="s">
        <v>105</v>
      </c>
      <c r="F43" s="5" t="n">
        <v>16</v>
      </c>
      <c r="G43" s="5" t="s">
        <v>59</v>
      </c>
      <c r="H43" s="5" t="s">
        <v>106</v>
      </c>
      <c r="I43" s="7" t="s">
        <v>49</v>
      </c>
      <c r="J43" s="5" t="s">
        <v>45</v>
      </c>
      <c r="K43" s="8" t="n">
        <f aca="false">Progress!$B$3+(B43-1)*7+(C43-1)</f>
        <v>46341</v>
      </c>
      <c r="L43" s="9" t="s">
        <v>50</v>
      </c>
      <c r="M43" s="10"/>
      <c r="N43" s="9"/>
      <c r="O43" s="9"/>
      <c r="P43" s="10"/>
      <c r="Q43" s="11"/>
    </row>
    <row r="44" customFormat="false" ht="15" hidden="false" customHeight="false" outlineLevel="0" collapsed="false">
      <c r="A44" s="5" t="n">
        <v>43</v>
      </c>
      <c r="B44" s="5" t="n">
        <v>3</v>
      </c>
      <c r="C44" s="5" t="n">
        <v>3</v>
      </c>
      <c r="D44" s="6" t="s">
        <v>107</v>
      </c>
      <c r="E44" s="6" t="s">
        <v>108</v>
      </c>
      <c r="F44" s="5" t="n">
        <v>643</v>
      </c>
      <c r="G44" s="5" t="s">
        <v>46</v>
      </c>
      <c r="H44" s="5" t="s">
        <v>47</v>
      </c>
      <c r="I44" s="7" t="s">
        <v>49</v>
      </c>
      <c r="J44" s="5" t="s">
        <v>45</v>
      </c>
      <c r="K44" s="8" t="n">
        <f aca="false">Progress!$B$3+(B44-1)*7+(C44-1)</f>
        <v>46342</v>
      </c>
      <c r="L44" s="9" t="s">
        <v>50</v>
      </c>
      <c r="M44" s="10"/>
      <c r="N44" s="9"/>
      <c r="O44" s="9"/>
      <c r="P44" s="10"/>
      <c r="Q44" s="11"/>
    </row>
    <row r="45" customFormat="false" ht="15" hidden="false" customHeight="false" outlineLevel="0" collapsed="false">
      <c r="A45" s="5" t="n">
        <v>44</v>
      </c>
      <c r="B45" s="5" t="n">
        <v>3</v>
      </c>
      <c r="C45" s="5" t="n">
        <v>3</v>
      </c>
      <c r="D45" s="6" t="s">
        <v>107</v>
      </c>
      <c r="E45" s="6" t="s">
        <v>109</v>
      </c>
      <c r="F45" s="5" t="n">
        <v>438</v>
      </c>
      <c r="G45" s="5" t="s">
        <v>59</v>
      </c>
      <c r="H45" s="5" t="s">
        <v>47</v>
      </c>
      <c r="I45" s="7" t="s">
        <v>49</v>
      </c>
      <c r="J45" s="7" t="s">
        <v>49</v>
      </c>
      <c r="K45" s="8" t="n">
        <f aca="false">Progress!$B$3+(B45-1)*7+(C45-1)</f>
        <v>46342</v>
      </c>
      <c r="L45" s="9" t="s">
        <v>50</v>
      </c>
      <c r="M45" s="10"/>
      <c r="N45" s="9"/>
      <c r="O45" s="9"/>
      <c r="P45" s="10"/>
      <c r="Q45" s="11"/>
    </row>
    <row r="46" customFormat="false" ht="15" hidden="false" customHeight="false" outlineLevel="0" collapsed="false">
      <c r="A46" s="5" t="n">
        <v>45</v>
      </c>
      <c r="B46" s="5" t="n">
        <v>3</v>
      </c>
      <c r="C46" s="5" t="n">
        <v>3</v>
      </c>
      <c r="D46" s="6" t="s">
        <v>107</v>
      </c>
      <c r="E46" s="6" t="s">
        <v>110</v>
      </c>
      <c r="F46" s="5" t="n">
        <v>567</v>
      </c>
      <c r="G46" s="5" t="s">
        <v>59</v>
      </c>
      <c r="H46" s="5" t="s">
        <v>47</v>
      </c>
      <c r="I46" s="7" t="s">
        <v>49</v>
      </c>
      <c r="J46" s="5" t="s">
        <v>45</v>
      </c>
      <c r="K46" s="8" t="n">
        <f aca="false">Progress!$B$3+(B46-1)*7+(C46-1)</f>
        <v>46342</v>
      </c>
      <c r="L46" s="9" t="s">
        <v>50</v>
      </c>
      <c r="M46" s="10"/>
      <c r="N46" s="9"/>
      <c r="O46" s="9"/>
      <c r="P46" s="10"/>
      <c r="Q46" s="11"/>
    </row>
    <row r="47" customFormat="false" ht="15" hidden="false" customHeight="false" outlineLevel="0" collapsed="false">
      <c r="A47" s="5" t="n">
        <v>46</v>
      </c>
      <c r="B47" s="5" t="n">
        <v>3</v>
      </c>
      <c r="C47" s="5" t="n">
        <v>4</v>
      </c>
      <c r="D47" s="6" t="s">
        <v>111</v>
      </c>
      <c r="E47" s="6" t="s">
        <v>112</v>
      </c>
      <c r="F47" s="5" t="n">
        <v>3</v>
      </c>
      <c r="G47" s="5" t="s">
        <v>59</v>
      </c>
      <c r="H47" s="5" t="s">
        <v>47</v>
      </c>
      <c r="I47" s="7" t="s">
        <v>49</v>
      </c>
      <c r="J47" s="5" t="s">
        <v>45</v>
      </c>
      <c r="K47" s="8" t="n">
        <f aca="false">Progress!$B$3+(B47-1)*7+(C47-1)</f>
        <v>46343</v>
      </c>
      <c r="L47" s="9" t="s">
        <v>50</v>
      </c>
      <c r="M47" s="10"/>
      <c r="N47" s="9"/>
      <c r="O47" s="9"/>
      <c r="P47" s="10"/>
      <c r="Q47" s="11"/>
    </row>
    <row r="48" customFormat="false" ht="15" hidden="false" customHeight="false" outlineLevel="0" collapsed="false">
      <c r="A48" s="5" t="n">
        <v>47</v>
      </c>
      <c r="B48" s="5" t="n">
        <v>3</v>
      </c>
      <c r="C48" s="5" t="n">
        <v>4</v>
      </c>
      <c r="D48" s="6" t="s">
        <v>111</v>
      </c>
      <c r="E48" s="6" t="s">
        <v>113</v>
      </c>
      <c r="F48" s="5" t="n">
        <v>209</v>
      </c>
      <c r="G48" s="5" t="s">
        <v>59</v>
      </c>
      <c r="H48" s="5" t="s">
        <v>47</v>
      </c>
      <c r="I48" s="7" t="s">
        <v>49</v>
      </c>
      <c r="J48" s="5" t="s">
        <v>45</v>
      </c>
      <c r="K48" s="8" t="n">
        <f aca="false">Progress!$B$3+(B48-1)*7+(C48-1)</f>
        <v>46343</v>
      </c>
      <c r="L48" s="9" t="s">
        <v>50</v>
      </c>
      <c r="M48" s="10"/>
      <c r="N48" s="9"/>
      <c r="O48" s="9"/>
      <c r="P48" s="10"/>
      <c r="Q48" s="11"/>
    </row>
    <row r="49" customFormat="false" ht="15" hidden="false" customHeight="false" outlineLevel="0" collapsed="false">
      <c r="A49" s="5" t="n">
        <v>48</v>
      </c>
      <c r="B49" s="5" t="n">
        <v>3</v>
      </c>
      <c r="C49" s="5" t="n">
        <v>4</v>
      </c>
      <c r="D49" s="6" t="s">
        <v>111</v>
      </c>
      <c r="E49" s="6" t="s">
        <v>114</v>
      </c>
      <c r="F49" s="5" t="n">
        <v>424</v>
      </c>
      <c r="G49" s="5" t="s">
        <v>59</v>
      </c>
      <c r="H49" s="5" t="s">
        <v>47</v>
      </c>
      <c r="I49" s="7" t="s">
        <v>49</v>
      </c>
      <c r="J49" s="7" t="s">
        <v>49</v>
      </c>
      <c r="K49" s="8" t="n">
        <f aca="false">Progress!$B$3+(B49-1)*7+(C49-1)</f>
        <v>46343</v>
      </c>
      <c r="L49" s="9" t="s">
        <v>50</v>
      </c>
      <c r="M49" s="10"/>
      <c r="N49" s="9"/>
      <c r="O49" s="9"/>
      <c r="P49" s="10"/>
      <c r="Q49" s="11"/>
    </row>
    <row r="50" customFormat="false" ht="15" hidden="false" customHeight="false" outlineLevel="0" collapsed="false">
      <c r="A50" s="5" t="n">
        <v>49</v>
      </c>
      <c r="B50" s="5" t="n">
        <v>3</v>
      </c>
      <c r="C50" s="5" t="n">
        <v>5</v>
      </c>
      <c r="D50" s="6" t="s">
        <v>115</v>
      </c>
      <c r="E50" s="6" t="s">
        <v>116</v>
      </c>
      <c r="F50" s="5" t="n">
        <v>1004</v>
      </c>
      <c r="G50" s="5" t="s">
        <v>59</v>
      </c>
      <c r="H50" s="5" t="s">
        <v>47</v>
      </c>
      <c r="I50" s="7" t="s">
        <v>49</v>
      </c>
      <c r="J50" s="7" t="s">
        <v>49</v>
      </c>
      <c r="K50" s="8" t="n">
        <f aca="false">Progress!$B$3+(B50-1)*7+(C50-1)</f>
        <v>46344</v>
      </c>
      <c r="L50" s="9" t="s">
        <v>50</v>
      </c>
      <c r="M50" s="10"/>
      <c r="N50" s="9"/>
      <c r="O50" s="9"/>
      <c r="P50" s="10"/>
      <c r="Q50" s="11"/>
    </row>
    <row r="51" customFormat="false" ht="15" hidden="false" customHeight="false" outlineLevel="0" collapsed="false">
      <c r="A51" s="5" t="n">
        <v>50</v>
      </c>
      <c r="B51" s="5" t="n">
        <v>3</v>
      </c>
      <c r="C51" s="5" t="n">
        <v>5</v>
      </c>
      <c r="D51" s="6" t="s">
        <v>115</v>
      </c>
      <c r="E51" s="6" t="s">
        <v>117</v>
      </c>
      <c r="F51" s="5" t="n">
        <v>904</v>
      </c>
      <c r="G51" s="5" t="s">
        <v>59</v>
      </c>
      <c r="H51" s="5" t="s">
        <v>47</v>
      </c>
      <c r="I51" s="7" t="s">
        <v>49</v>
      </c>
      <c r="J51" s="7" t="s">
        <v>49</v>
      </c>
      <c r="K51" s="8" t="n">
        <f aca="false">Progress!$B$3+(B51-1)*7+(C51-1)</f>
        <v>46344</v>
      </c>
      <c r="L51" s="9" t="s">
        <v>50</v>
      </c>
      <c r="M51" s="10"/>
      <c r="N51" s="9"/>
      <c r="O51" s="9"/>
      <c r="P51" s="10"/>
      <c r="Q51" s="11"/>
    </row>
    <row r="52" customFormat="false" ht="15" hidden="false" customHeight="false" outlineLevel="0" collapsed="false">
      <c r="A52" s="5" t="n">
        <v>51</v>
      </c>
      <c r="B52" s="5" t="n">
        <v>3</v>
      </c>
      <c r="C52" s="5" t="n">
        <v>5</v>
      </c>
      <c r="D52" s="6" t="s">
        <v>115</v>
      </c>
      <c r="E52" s="6" t="s">
        <v>118</v>
      </c>
      <c r="F52" s="5" t="n">
        <v>76</v>
      </c>
      <c r="G52" s="5" t="s">
        <v>119</v>
      </c>
      <c r="H52" s="5" t="s">
        <v>106</v>
      </c>
      <c r="I52" s="7" t="s">
        <v>49</v>
      </c>
      <c r="J52" s="7" t="s">
        <v>49</v>
      </c>
      <c r="K52" s="8" t="n">
        <f aca="false">Progress!$B$3+(B52-1)*7+(C52-1)</f>
        <v>46344</v>
      </c>
      <c r="L52" s="9" t="s">
        <v>50</v>
      </c>
      <c r="M52" s="10"/>
      <c r="N52" s="9"/>
      <c r="O52" s="9"/>
      <c r="P52" s="10"/>
      <c r="Q52" s="11"/>
    </row>
    <row r="53" customFormat="false" ht="15" hidden="false" customHeight="false" outlineLevel="0" collapsed="false">
      <c r="A53" s="5" t="n">
        <v>52</v>
      </c>
      <c r="B53" s="5" t="n">
        <v>3</v>
      </c>
      <c r="C53" s="5" t="n">
        <v>6</v>
      </c>
      <c r="D53" s="6" t="s">
        <v>120</v>
      </c>
      <c r="E53" s="6" t="s">
        <v>121</v>
      </c>
      <c r="F53" s="5" t="n">
        <v>881</v>
      </c>
      <c r="G53" s="5" t="s">
        <v>59</v>
      </c>
      <c r="H53" s="5" t="s">
        <v>47</v>
      </c>
      <c r="I53" s="7" t="s">
        <v>49</v>
      </c>
      <c r="J53" s="5" t="s">
        <v>45</v>
      </c>
      <c r="K53" s="8" t="n">
        <f aca="false">Progress!$B$3+(B53-1)*7+(C53-1)</f>
        <v>46345</v>
      </c>
      <c r="L53" s="9" t="s">
        <v>50</v>
      </c>
      <c r="M53" s="10"/>
      <c r="N53" s="9"/>
      <c r="O53" s="9"/>
      <c r="P53" s="10"/>
      <c r="Q53" s="11"/>
    </row>
    <row r="54" customFormat="false" ht="15" hidden="false" customHeight="false" outlineLevel="0" collapsed="false">
      <c r="A54" s="5" t="n">
        <v>53</v>
      </c>
      <c r="B54" s="5" t="n">
        <v>3</v>
      </c>
      <c r="C54" s="5" t="n">
        <v>6</v>
      </c>
      <c r="D54" s="6" t="s">
        <v>120</v>
      </c>
      <c r="E54" s="6" t="s">
        <v>122</v>
      </c>
      <c r="F54" s="5" t="n">
        <v>1456</v>
      </c>
      <c r="G54" s="5" t="s">
        <v>59</v>
      </c>
      <c r="H54" s="5" t="s">
        <v>47</v>
      </c>
      <c r="I54" s="7" t="s">
        <v>49</v>
      </c>
      <c r="J54" s="5" t="s">
        <v>45</v>
      </c>
      <c r="K54" s="8" t="n">
        <f aca="false">Progress!$B$3+(B54-1)*7+(C54-1)</f>
        <v>46345</v>
      </c>
      <c r="L54" s="9" t="s">
        <v>50</v>
      </c>
      <c r="M54" s="10"/>
      <c r="N54" s="9"/>
      <c r="O54" s="9"/>
      <c r="P54" s="10"/>
      <c r="Q54" s="11"/>
    </row>
    <row r="55" customFormat="false" ht="15" hidden="false" customHeight="false" outlineLevel="0" collapsed="false">
      <c r="A55" s="5" t="n">
        <v>54</v>
      </c>
      <c r="B55" s="5" t="n">
        <v>3</v>
      </c>
      <c r="C55" s="5" t="n">
        <v>6</v>
      </c>
      <c r="D55" s="6" t="s">
        <v>120</v>
      </c>
      <c r="E55" s="6" t="s">
        <v>123</v>
      </c>
      <c r="F55" s="5" t="n">
        <v>42</v>
      </c>
      <c r="G55" s="5" t="s">
        <v>119</v>
      </c>
      <c r="H55" s="5" t="s">
        <v>106</v>
      </c>
      <c r="I55" s="7" t="s">
        <v>49</v>
      </c>
      <c r="J55" s="5" t="s">
        <v>45</v>
      </c>
      <c r="K55" s="8" t="n">
        <f aca="false">Progress!$B$3+(B55-1)*7+(C55-1)</f>
        <v>46345</v>
      </c>
      <c r="L55" s="9" t="s">
        <v>50</v>
      </c>
      <c r="M55" s="10"/>
      <c r="N55" s="9"/>
      <c r="O55" s="9"/>
      <c r="P55" s="10"/>
      <c r="Q55" s="11"/>
    </row>
    <row r="56" customFormat="false" ht="15" hidden="false" customHeight="false" outlineLevel="0" collapsed="false">
      <c r="A56" s="5" t="n">
        <v>55</v>
      </c>
      <c r="B56" s="5" t="n">
        <v>4</v>
      </c>
      <c r="C56" s="5" t="n">
        <v>1</v>
      </c>
      <c r="D56" s="6" t="s">
        <v>124</v>
      </c>
      <c r="E56" s="6" t="s">
        <v>125</v>
      </c>
      <c r="F56" s="5" t="n">
        <v>704</v>
      </c>
      <c r="G56" s="5" t="s">
        <v>46</v>
      </c>
      <c r="H56" s="5" t="s">
        <v>47</v>
      </c>
      <c r="I56" s="7" t="s">
        <v>49</v>
      </c>
      <c r="J56" s="5" t="s">
        <v>45</v>
      </c>
      <c r="K56" s="8" t="n">
        <f aca="false">Progress!$B$3+(B56-1)*7+(C56-1)</f>
        <v>46347</v>
      </c>
      <c r="L56" s="9" t="s">
        <v>50</v>
      </c>
      <c r="M56" s="10"/>
      <c r="N56" s="9"/>
      <c r="O56" s="9"/>
      <c r="P56" s="10"/>
      <c r="Q56" s="11"/>
    </row>
    <row r="57" customFormat="false" ht="15" hidden="false" customHeight="false" outlineLevel="0" collapsed="false">
      <c r="A57" s="5" t="n">
        <v>56</v>
      </c>
      <c r="B57" s="5" t="n">
        <v>4</v>
      </c>
      <c r="C57" s="5" t="n">
        <v>1</v>
      </c>
      <c r="D57" s="6" t="s">
        <v>124</v>
      </c>
      <c r="E57" s="6" t="s">
        <v>126</v>
      </c>
      <c r="F57" s="5" t="n">
        <v>35</v>
      </c>
      <c r="G57" s="5" t="s">
        <v>46</v>
      </c>
      <c r="H57" s="5" t="s">
        <v>47</v>
      </c>
      <c r="I57" s="7" t="s">
        <v>49</v>
      </c>
      <c r="J57" s="5" t="s">
        <v>45</v>
      </c>
      <c r="K57" s="8" t="n">
        <f aca="false">Progress!$B$3+(B57-1)*7+(C57-1)</f>
        <v>46347</v>
      </c>
      <c r="L57" s="9" t="s">
        <v>50</v>
      </c>
      <c r="M57" s="10"/>
      <c r="N57" s="9"/>
      <c r="O57" s="9"/>
      <c r="P57" s="10"/>
      <c r="Q57" s="11"/>
    </row>
    <row r="58" customFormat="false" ht="15" hidden="false" customHeight="false" outlineLevel="0" collapsed="false">
      <c r="A58" s="5" t="n">
        <v>57</v>
      </c>
      <c r="B58" s="5" t="n">
        <v>4</v>
      </c>
      <c r="C58" s="5" t="n">
        <v>1</v>
      </c>
      <c r="D58" s="6" t="s">
        <v>124</v>
      </c>
      <c r="E58" s="6" t="s">
        <v>127</v>
      </c>
      <c r="F58" s="5" t="n">
        <v>278</v>
      </c>
      <c r="G58" s="5" t="s">
        <v>46</v>
      </c>
      <c r="H58" s="5" t="s">
        <v>47</v>
      </c>
      <c r="I58" s="7" t="s">
        <v>49</v>
      </c>
      <c r="J58" s="5" t="s">
        <v>45</v>
      </c>
      <c r="K58" s="8" t="n">
        <f aca="false">Progress!$B$3+(B58-1)*7+(C58-1)</f>
        <v>46347</v>
      </c>
      <c r="L58" s="9" t="s">
        <v>50</v>
      </c>
      <c r="M58" s="10"/>
      <c r="N58" s="9"/>
      <c r="O58" s="9"/>
      <c r="P58" s="10"/>
      <c r="Q58" s="11"/>
    </row>
    <row r="59" customFormat="false" ht="15" hidden="false" customHeight="false" outlineLevel="0" collapsed="false">
      <c r="A59" s="5" t="n">
        <v>58</v>
      </c>
      <c r="B59" s="5" t="n">
        <v>4</v>
      </c>
      <c r="C59" s="5" t="n">
        <v>2</v>
      </c>
      <c r="D59" s="6" t="s">
        <v>128</v>
      </c>
      <c r="E59" s="6" t="s">
        <v>129</v>
      </c>
      <c r="F59" s="5" t="n">
        <v>69</v>
      </c>
      <c r="G59" s="5" t="s">
        <v>46</v>
      </c>
      <c r="H59" s="5" t="s">
        <v>47</v>
      </c>
      <c r="I59" s="7" t="s">
        <v>49</v>
      </c>
      <c r="J59" s="5" t="s">
        <v>45</v>
      </c>
      <c r="K59" s="8" t="n">
        <f aca="false">Progress!$B$3+(B59-1)*7+(C59-1)</f>
        <v>46348</v>
      </c>
      <c r="L59" s="9" t="s">
        <v>50</v>
      </c>
      <c r="M59" s="10"/>
      <c r="N59" s="9"/>
      <c r="O59" s="9"/>
      <c r="P59" s="10"/>
      <c r="Q59" s="11"/>
    </row>
    <row r="60" customFormat="false" ht="15" hidden="false" customHeight="false" outlineLevel="0" collapsed="false">
      <c r="A60" s="5" t="n">
        <v>59</v>
      </c>
      <c r="B60" s="5" t="n">
        <v>4</v>
      </c>
      <c r="C60" s="5" t="n">
        <v>2</v>
      </c>
      <c r="D60" s="6" t="s">
        <v>128</v>
      </c>
      <c r="E60" s="6" t="s">
        <v>130</v>
      </c>
      <c r="F60" s="5" t="n">
        <v>33</v>
      </c>
      <c r="G60" s="5" t="s">
        <v>59</v>
      </c>
      <c r="H60" s="5" t="s">
        <v>47</v>
      </c>
      <c r="I60" s="7" t="s">
        <v>49</v>
      </c>
      <c r="J60" s="5" t="s">
        <v>45</v>
      </c>
      <c r="K60" s="8" t="n">
        <f aca="false">Progress!$B$3+(B60-1)*7+(C60-1)</f>
        <v>46348</v>
      </c>
      <c r="L60" s="9" t="s">
        <v>50</v>
      </c>
      <c r="M60" s="10"/>
      <c r="N60" s="9"/>
      <c r="O60" s="9"/>
      <c r="P60" s="10"/>
      <c r="Q60" s="11"/>
    </row>
    <row r="61" customFormat="false" ht="15" hidden="false" customHeight="false" outlineLevel="0" collapsed="false">
      <c r="A61" s="5" t="n">
        <v>60</v>
      </c>
      <c r="B61" s="5" t="n">
        <v>4</v>
      </c>
      <c r="C61" s="5" t="n">
        <v>2</v>
      </c>
      <c r="D61" s="6" t="s">
        <v>128</v>
      </c>
      <c r="E61" s="6" t="s">
        <v>131</v>
      </c>
      <c r="F61" s="5" t="n">
        <v>34</v>
      </c>
      <c r="G61" s="5" t="s">
        <v>59</v>
      </c>
      <c r="H61" s="5" t="s">
        <v>47</v>
      </c>
      <c r="I61" s="7" t="s">
        <v>49</v>
      </c>
      <c r="J61" s="5" t="s">
        <v>45</v>
      </c>
      <c r="K61" s="8" t="n">
        <f aca="false">Progress!$B$3+(B61-1)*7+(C61-1)</f>
        <v>46348</v>
      </c>
      <c r="L61" s="9" t="s">
        <v>50</v>
      </c>
      <c r="M61" s="10"/>
      <c r="N61" s="9"/>
      <c r="O61" s="9"/>
      <c r="P61" s="10"/>
      <c r="Q61" s="11"/>
    </row>
    <row r="62" customFormat="false" ht="15" hidden="false" customHeight="false" outlineLevel="0" collapsed="false">
      <c r="A62" s="5" t="n">
        <v>61</v>
      </c>
      <c r="B62" s="5" t="n">
        <v>4</v>
      </c>
      <c r="C62" s="5" t="n">
        <v>3</v>
      </c>
      <c r="D62" s="6" t="s">
        <v>132</v>
      </c>
      <c r="E62" s="6" t="s">
        <v>133</v>
      </c>
      <c r="F62" s="5" t="n">
        <v>153</v>
      </c>
      <c r="G62" s="5" t="s">
        <v>59</v>
      </c>
      <c r="H62" s="5" t="s">
        <v>47</v>
      </c>
      <c r="I62" s="7" t="s">
        <v>49</v>
      </c>
      <c r="J62" s="5" t="s">
        <v>45</v>
      </c>
      <c r="K62" s="8" t="n">
        <f aca="false">Progress!$B$3+(B62-1)*7+(C62-1)</f>
        <v>46349</v>
      </c>
      <c r="L62" s="9" t="s">
        <v>50</v>
      </c>
      <c r="M62" s="10"/>
      <c r="N62" s="9"/>
      <c r="O62" s="9"/>
      <c r="P62" s="10"/>
      <c r="Q62" s="11"/>
    </row>
    <row r="63" customFormat="false" ht="15" hidden="false" customHeight="false" outlineLevel="0" collapsed="false">
      <c r="A63" s="5" t="n">
        <v>62</v>
      </c>
      <c r="B63" s="5" t="n">
        <v>4</v>
      </c>
      <c r="C63" s="5" t="n">
        <v>3</v>
      </c>
      <c r="D63" s="6" t="s">
        <v>132</v>
      </c>
      <c r="E63" s="6" t="s">
        <v>134</v>
      </c>
      <c r="F63" s="5" t="n">
        <v>852</v>
      </c>
      <c r="G63" s="5" t="s">
        <v>59</v>
      </c>
      <c r="H63" s="5" t="s">
        <v>47</v>
      </c>
      <c r="I63" s="7" t="s">
        <v>49</v>
      </c>
      <c r="J63" s="5" t="s">
        <v>45</v>
      </c>
      <c r="K63" s="8" t="n">
        <f aca="false">Progress!$B$3+(B63-1)*7+(C63-1)</f>
        <v>46349</v>
      </c>
      <c r="L63" s="9" t="s">
        <v>50</v>
      </c>
      <c r="M63" s="10"/>
      <c r="N63" s="9"/>
      <c r="O63" s="9"/>
      <c r="P63" s="10"/>
      <c r="Q63" s="11"/>
    </row>
    <row r="64" customFormat="false" ht="15" hidden="false" customHeight="false" outlineLevel="0" collapsed="false">
      <c r="A64" s="5" t="n">
        <v>63</v>
      </c>
      <c r="B64" s="5" t="n">
        <v>4</v>
      </c>
      <c r="C64" s="5" t="n">
        <v>3</v>
      </c>
      <c r="D64" s="6" t="s">
        <v>132</v>
      </c>
      <c r="E64" s="6" t="s">
        <v>135</v>
      </c>
      <c r="F64" s="5" t="n">
        <v>875</v>
      </c>
      <c r="G64" s="5" t="s">
        <v>59</v>
      </c>
      <c r="H64" s="5" t="s">
        <v>47</v>
      </c>
      <c r="I64" s="7" t="s">
        <v>49</v>
      </c>
      <c r="J64" s="7" t="s">
        <v>49</v>
      </c>
      <c r="K64" s="8" t="n">
        <f aca="false">Progress!$B$3+(B64-1)*7+(C64-1)</f>
        <v>46349</v>
      </c>
      <c r="L64" s="9" t="s">
        <v>50</v>
      </c>
      <c r="M64" s="10"/>
      <c r="N64" s="9"/>
      <c r="O64" s="9"/>
      <c r="P64" s="10"/>
      <c r="Q64" s="11"/>
    </row>
    <row r="65" customFormat="false" ht="15" hidden="false" customHeight="false" outlineLevel="0" collapsed="false">
      <c r="A65" s="5" t="n">
        <v>64</v>
      </c>
      <c r="B65" s="5" t="n">
        <v>4</v>
      </c>
      <c r="C65" s="5" t="n">
        <v>4</v>
      </c>
      <c r="D65" s="6" t="s">
        <v>136</v>
      </c>
      <c r="E65" s="6" t="s">
        <v>137</v>
      </c>
      <c r="F65" s="5" t="n">
        <v>20</v>
      </c>
      <c r="G65" s="5" t="s">
        <v>46</v>
      </c>
      <c r="H65" s="5" t="s">
        <v>47</v>
      </c>
      <c r="I65" s="7" t="s">
        <v>49</v>
      </c>
      <c r="J65" s="5" t="s">
        <v>45</v>
      </c>
      <c r="K65" s="8" t="n">
        <f aca="false">Progress!$B$3+(B65-1)*7+(C65-1)</f>
        <v>46350</v>
      </c>
      <c r="L65" s="9" t="s">
        <v>50</v>
      </c>
      <c r="M65" s="10"/>
      <c r="N65" s="9"/>
      <c r="O65" s="9"/>
      <c r="P65" s="10"/>
      <c r="Q65" s="11"/>
    </row>
    <row r="66" customFormat="false" ht="15" hidden="false" customHeight="false" outlineLevel="0" collapsed="false">
      <c r="A66" s="5" t="n">
        <v>65</v>
      </c>
      <c r="B66" s="5" t="n">
        <v>4</v>
      </c>
      <c r="C66" s="5" t="n">
        <v>4</v>
      </c>
      <c r="D66" s="6" t="s">
        <v>136</v>
      </c>
      <c r="E66" s="6" t="s">
        <v>138</v>
      </c>
      <c r="F66" s="5" t="n">
        <v>155</v>
      </c>
      <c r="G66" s="5" t="s">
        <v>59</v>
      </c>
      <c r="H66" s="5" t="s">
        <v>47</v>
      </c>
      <c r="I66" s="7" t="s">
        <v>49</v>
      </c>
      <c r="J66" s="5" t="s">
        <v>45</v>
      </c>
      <c r="K66" s="8" t="n">
        <f aca="false">Progress!$B$3+(B66-1)*7+(C66-1)</f>
        <v>46350</v>
      </c>
      <c r="L66" s="9" t="s">
        <v>50</v>
      </c>
      <c r="M66" s="10"/>
      <c r="N66" s="9"/>
      <c r="O66" s="9"/>
      <c r="P66" s="10"/>
      <c r="Q66" s="11"/>
    </row>
    <row r="67" customFormat="false" ht="15" hidden="false" customHeight="false" outlineLevel="0" collapsed="false">
      <c r="A67" s="5" t="n">
        <v>66</v>
      </c>
      <c r="B67" s="5" t="n">
        <v>4</v>
      </c>
      <c r="C67" s="5" t="n">
        <v>4</v>
      </c>
      <c r="D67" s="6" t="s">
        <v>136</v>
      </c>
      <c r="E67" s="6" t="s">
        <v>139</v>
      </c>
      <c r="F67" s="5" t="n">
        <v>682</v>
      </c>
      <c r="G67" s="5" t="s">
        <v>46</v>
      </c>
      <c r="H67" s="5" t="s">
        <v>47</v>
      </c>
      <c r="I67" s="7" t="s">
        <v>49</v>
      </c>
      <c r="J67" s="5" t="s">
        <v>45</v>
      </c>
      <c r="K67" s="8" t="n">
        <f aca="false">Progress!$B$3+(B67-1)*7+(C67-1)</f>
        <v>46350</v>
      </c>
      <c r="L67" s="9" t="s">
        <v>50</v>
      </c>
      <c r="M67" s="10"/>
      <c r="N67" s="9"/>
      <c r="O67" s="9"/>
      <c r="P67" s="10"/>
      <c r="Q67" s="11"/>
    </row>
    <row r="68" customFormat="false" ht="15" hidden="false" customHeight="false" outlineLevel="0" collapsed="false">
      <c r="A68" s="5" t="n">
        <v>67</v>
      </c>
      <c r="B68" s="5" t="n">
        <v>4</v>
      </c>
      <c r="C68" s="5" t="n">
        <v>5</v>
      </c>
      <c r="D68" s="6" t="s">
        <v>140</v>
      </c>
      <c r="E68" s="6" t="s">
        <v>141</v>
      </c>
      <c r="F68" s="5" t="n">
        <v>496</v>
      </c>
      <c r="G68" s="5" t="s">
        <v>46</v>
      </c>
      <c r="H68" s="5" t="s">
        <v>47</v>
      </c>
      <c r="I68" s="7" t="s">
        <v>49</v>
      </c>
      <c r="J68" s="5" t="s">
        <v>45</v>
      </c>
      <c r="K68" s="8" t="n">
        <f aca="false">Progress!$B$3+(B68-1)*7+(C68-1)</f>
        <v>46351</v>
      </c>
      <c r="L68" s="9" t="s">
        <v>50</v>
      </c>
      <c r="M68" s="10"/>
      <c r="N68" s="9"/>
      <c r="O68" s="9"/>
      <c r="P68" s="10"/>
      <c r="Q68" s="11"/>
    </row>
    <row r="69" customFormat="false" ht="15" hidden="false" customHeight="false" outlineLevel="0" collapsed="false">
      <c r="A69" s="5" t="n">
        <v>68</v>
      </c>
      <c r="B69" s="5" t="n">
        <v>4</v>
      </c>
      <c r="C69" s="5" t="n">
        <v>5</v>
      </c>
      <c r="D69" s="6" t="s">
        <v>140</v>
      </c>
      <c r="E69" s="6" t="s">
        <v>142</v>
      </c>
      <c r="F69" s="5" t="n">
        <v>739</v>
      </c>
      <c r="G69" s="5" t="s">
        <v>59</v>
      </c>
      <c r="H69" s="5" t="s">
        <v>47</v>
      </c>
      <c r="I69" s="7" t="s">
        <v>49</v>
      </c>
      <c r="J69" s="5" t="s">
        <v>45</v>
      </c>
      <c r="K69" s="8" t="n">
        <f aca="false">Progress!$B$3+(B69-1)*7+(C69-1)</f>
        <v>46351</v>
      </c>
      <c r="L69" s="9" t="s">
        <v>50</v>
      </c>
      <c r="M69" s="10"/>
      <c r="N69" s="9"/>
      <c r="O69" s="9"/>
      <c r="P69" s="10"/>
      <c r="Q69" s="11"/>
    </row>
    <row r="70" customFormat="false" ht="15" hidden="false" customHeight="false" outlineLevel="0" collapsed="false">
      <c r="A70" s="5" t="n">
        <v>69</v>
      </c>
      <c r="B70" s="5" t="n">
        <v>4</v>
      </c>
      <c r="C70" s="5" t="n">
        <v>5</v>
      </c>
      <c r="D70" s="6" t="s">
        <v>140</v>
      </c>
      <c r="E70" s="6" t="s">
        <v>143</v>
      </c>
      <c r="F70" s="5" t="n">
        <v>150</v>
      </c>
      <c r="G70" s="5" t="s">
        <v>59</v>
      </c>
      <c r="H70" s="5" t="s">
        <v>47</v>
      </c>
      <c r="I70" s="7" t="s">
        <v>49</v>
      </c>
      <c r="J70" s="5" t="s">
        <v>45</v>
      </c>
      <c r="K70" s="8" t="n">
        <f aca="false">Progress!$B$3+(B70-1)*7+(C70-1)</f>
        <v>46351</v>
      </c>
      <c r="L70" s="9" t="s">
        <v>50</v>
      </c>
      <c r="M70" s="10"/>
      <c r="N70" s="9"/>
      <c r="O70" s="9"/>
      <c r="P70" s="10"/>
      <c r="Q70" s="11"/>
    </row>
    <row r="71" customFormat="false" ht="15" hidden="false" customHeight="false" outlineLevel="0" collapsed="false">
      <c r="A71" s="5" t="n">
        <v>70</v>
      </c>
      <c r="B71" s="5" t="n">
        <v>4</v>
      </c>
      <c r="C71" s="5" t="n">
        <v>6</v>
      </c>
      <c r="D71" s="6" t="s">
        <v>144</v>
      </c>
      <c r="E71" s="6" t="s">
        <v>145</v>
      </c>
      <c r="F71" s="5" t="n">
        <v>232</v>
      </c>
      <c r="G71" s="5" t="s">
        <v>46</v>
      </c>
      <c r="H71" s="5" t="s">
        <v>47</v>
      </c>
      <c r="I71" s="7" t="s">
        <v>49</v>
      </c>
      <c r="J71" s="5" t="s">
        <v>45</v>
      </c>
      <c r="K71" s="8" t="n">
        <f aca="false">Progress!$B$3+(B71-1)*7+(C71-1)</f>
        <v>46352</v>
      </c>
      <c r="L71" s="9" t="s">
        <v>50</v>
      </c>
      <c r="M71" s="10"/>
      <c r="N71" s="9"/>
      <c r="O71" s="9"/>
      <c r="P71" s="10"/>
      <c r="Q71" s="11"/>
    </row>
    <row r="72" customFormat="false" ht="15" hidden="false" customHeight="false" outlineLevel="0" collapsed="false">
      <c r="A72" s="5" t="n">
        <v>71</v>
      </c>
      <c r="B72" s="5" t="n">
        <v>4</v>
      </c>
      <c r="C72" s="5" t="n">
        <v>6</v>
      </c>
      <c r="D72" s="6" t="s">
        <v>144</v>
      </c>
      <c r="E72" s="6" t="s">
        <v>146</v>
      </c>
      <c r="F72" s="5" t="n">
        <v>225</v>
      </c>
      <c r="G72" s="5" t="s">
        <v>46</v>
      </c>
      <c r="H72" s="5" t="s">
        <v>47</v>
      </c>
      <c r="I72" s="7" t="s">
        <v>49</v>
      </c>
      <c r="J72" s="5" t="s">
        <v>45</v>
      </c>
      <c r="K72" s="8" t="n">
        <f aca="false">Progress!$B$3+(B72-1)*7+(C72-1)</f>
        <v>46352</v>
      </c>
      <c r="L72" s="9" t="s">
        <v>50</v>
      </c>
      <c r="M72" s="10"/>
      <c r="N72" s="9"/>
      <c r="O72" s="9"/>
      <c r="P72" s="10"/>
      <c r="Q72" s="11"/>
    </row>
    <row r="73" customFormat="false" ht="15" hidden="false" customHeight="false" outlineLevel="0" collapsed="false">
      <c r="A73" s="5" t="n">
        <v>72</v>
      </c>
      <c r="B73" s="5" t="n">
        <v>4</v>
      </c>
      <c r="C73" s="5" t="n">
        <v>6</v>
      </c>
      <c r="D73" s="6" t="s">
        <v>144</v>
      </c>
      <c r="E73" s="6" t="s">
        <v>147</v>
      </c>
      <c r="F73" s="5" t="n">
        <v>933</v>
      </c>
      <c r="G73" s="5" t="s">
        <v>46</v>
      </c>
      <c r="H73" s="5" t="s">
        <v>47</v>
      </c>
      <c r="I73" s="7" t="s">
        <v>49</v>
      </c>
      <c r="J73" s="5" t="s">
        <v>45</v>
      </c>
      <c r="K73" s="8" t="n">
        <f aca="false">Progress!$B$3+(B73-1)*7+(C73-1)</f>
        <v>46352</v>
      </c>
      <c r="L73" s="9" t="s">
        <v>50</v>
      </c>
      <c r="M73" s="10"/>
      <c r="N73" s="9"/>
      <c r="O73" s="9"/>
      <c r="P73" s="10"/>
      <c r="Q73" s="11"/>
    </row>
    <row r="74" customFormat="false" ht="15" hidden="false" customHeight="false" outlineLevel="0" collapsed="false">
      <c r="A74" s="5" t="n">
        <v>73</v>
      </c>
      <c r="B74" s="5" t="n">
        <v>5</v>
      </c>
      <c r="C74" s="5" t="n">
        <v>1</v>
      </c>
      <c r="D74" s="6" t="s">
        <v>148</v>
      </c>
      <c r="E74" s="6" t="s">
        <v>149</v>
      </c>
      <c r="F74" s="5" t="n">
        <v>206</v>
      </c>
      <c r="G74" s="5" t="s">
        <v>46</v>
      </c>
      <c r="H74" s="5" t="s">
        <v>47</v>
      </c>
      <c r="I74" s="7" t="s">
        <v>49</v>
      </c>
      <c r="J74" s="5" t="s">
        <v>45</v>
      </c>
      <c r="K74" s="8" t="n">
        <f aca="false">Progress!$B$3+(B74-1)*7+(C74-1)</f>
        <v>46354</v>
      </c>
      <c r="L74" s="9" t="s">
        <v>50</v>
      </c>
      <c r="M74" s="10"/>
      <c r="N74" s="9"/>
      <c r="O74" s="9"/>
      <c r="P74" s="10"/>
      <c r="Q74" s="11"/>
    </row>
    <row r="75" customFormat="false" ht="15" hidden="false" customHeight="false" outlineLevel="0" collapsed="false">
      <c r="A75" s="5" t="n">
        <v>74</v>
      </c>
      <c r="B75" s="5" t="n">
        <v>5</v>
      </c>
      <c r="C75" s="5" t="n">
        <v>1</v>
      </c>
      <c r="D75" s="6" t="s">
        <v>148</v>
      </c>
      <c r="E75" s="6" t="s">
        <v>150</v>
      </c>
      <c r="F75" s="5" t="n">
        <v>876</v>
      </c>
      <c r="G75" s="5" t="s">
        <v>46</v>
      </c>
      <c r="H75" s="5" t="s">
        <v>47</v>
      </c>
      <c r="I75" s="7" t="s">
        <v>49</v>
      </c>
      <c r="J75" s="5" t="s">
        <v>45</v>
      </c>
      <c r="K75" s="8" t="n">
        <f aca="false">Progress!$B$3+(B75-1)*7+(C75-1)</f>
        <v>46354</v>
      </c>
      <c r="L75" s="9" t="s">
        <v>50</v>
      </c>
      <c r="M75" s="10"/>
      <c r="N75" s="9"/>
      <c r="O75" s="9"/>
      <c r="P75" s="10"/>
      <c r="Q75" s="11"/>
    </row>
    <row r="76" customFormat="false" ht="15" hidden="false" customHeight="false" outlineLevel="0" collapsed="false">
      <c r="A76" s="5" t="n">
        <v>75</v>
      </c>
      <c r="B76" s="5" t="n">
        <v>5</v>
      </c>
      <c r="C76" s="5" t="n">
        <v>1</v>
      </c>
      <c r="D76" s="6" t="s">
        <v>148</v>
      </c>
      <c r="E76" s="6" t="s">
        <v>151</v>
      </c>
      <c r="F76" s="5" t="n">
        <v>203</v>
      </c>
      <c r="G76" s="5" t="s">
        <v>46</v>
      </c>
      <c r="H76" s="5" t="s">
        <v>47</v>
      </c>
      <c r="I76" s="7" t="s">
        <v>49</v>
      </c>
      <c r="J76" s="5" t="s">
        <v>45</v>
      </c>
      <c r="K76" s="8" t="n">
        <f aca="false">Progress!$B$3+(B76-1)*7+(C76-1)</f>
        <v>46354</v>
      </c>
      <c r="L76" s="9" t="s">
        <v>50</v>
      </c>
      <c r="M76" s="10"/>
      <c r="N76" s="9"/>
      <c r="O76" s="9"/>
      <c r="P76" s="10"/>
      <c r="Q76" s="11"/>
    </row>
    <row r="77" customFormat="false" ht="15" hidden="false" customHeight="false" outlineLevel="0" collapsed="false">
      <c r="A77" s="5" t="n">
        <v>76</v>
      </c>
      <c r="B77" s="5" t="n">
        <v>5</v>
      </c>
      <c r="C77" s="5" t="n">
        <v>2</v>
      </c>
      <c r="D77" s="6" t="s">
        <v>152</v>
      </c>
      <c r="E77" s="6" t="s">
        <v>153</v>
      </c>
      <c r="F77" s="5" t="n">
        <v>141</v>
      </c>
      <c r="G77" s="5" t="s">
        <v>46</v>
      </c>
      <c r="H77" s="5" t="s">
        <v>47</v>
      </c>
      <c r="I77" s="7" t="s">
        <v>49</v>
      </c>
      <c r="J77" s="5" t="s">
        <v>45</v>
      </c>
      <c r="K77" s="8" t="n">
        <f aca="false">Progress!$B$3+(B77-1)*7+(C77-1)</f>
        <v>46355</v>
      </c>
      <c r="L77" s="9" t="s">
        <v>50</v>
      </c>
      <c r="M77" s="10"/>
      <c r="N77" s="9"/>
      <c r="O77" s="9"/>
      <c r="P77" s="10"/>
      <c r="Q77" s="11"/>
    </row>
    <row r="78" customFormat="false" ht="15" hidden="false" customHeight="false" outlineLevel="0" collapsed="false">
      <c r="A78" s="5" t="n">
        <v>77</v>
      </c>
      <c r="B78" s="5" t="n">
        <v>5</v>
      </c>
      <c r="C78" s="5" t="n">
        <v>2</v>
      </c>
      <c r="D78" s="6" t="s">
        <v>152</v>
      </c>
      <c r="E78" s="6" t="s">
        <v>154</v>
      </c>
      <c r="F78" s="5" t="n">
        <v>21</v>
      </c>
      <c r="G78" s="5" t="s">
        <v>46</v>
      </c>
      <c r="H78" s="5" t="s">
        <v>47</v>
      </c>
      <c r="I78" s="7" t="s">
        <v>49</v>
      </c>
      <c r="J78" s="5" t="s">
        <v>45</v>
      </c>
      <c r="K78" s="8" t="n">
        <f aca="false">Progress!$B$3+(B78-1)*7+(C78-1)</f>
        <v>46355</v>
      </c>
      <c r="L78" s="9" t="s">
        <v>50</v>
      </c>
      <c r="M78" s="10"/>
      <c r="N78" s="9"/>
      <c r="O78" s="9"/>
      <c r="P78" s="10"/>
      <c r="Q78" s="11"/>
    </row>
    <row r="79" customFormat="false" ht="15" hidden="false" customHeight="false" outlineLevel="0" collapsed="false">
      <c r="A79" s="5" t="n">
        <v>78</v>
      </c>
      <c r="B79" s="5" t="n">
        <v>5</v>
      </c>
      <c r="C79" s="5" t="n">
        <v>2</v>
      </c>
      <c r="D79" s="6" t="s">
        <v>152</v>
      </c>
      <c r="E79" s="6" t="s">
        <v>155</v>
      </c>
      <c r="F79" s="5" t="n">
        <v>234</v>
      </c>
      <c r="G79" s="5" t="s">
        <v>46</v>
      </c>
      <c r="H79" s="5" t="s">
        <v>47</v>
      </c>
      <c r="I79" s="7" t="s">
        <v>49</v>
      </c>
      <c r="J79" s="5" t="s">
        <v>45</v>
      </c>
      <c r="K79" s="8" t="n">
        <f aca="false">Progress!$B$3+(B79-1)*7+(C79-1)</f>
        <v>46355</v>
      </c>
      <c r="L79" s="9" t="s">
        <v>50</v>
      </c>
      <c r="M79" s="10"/>
      <c r="N79" s="9"/>
      <c r="O79" s="9"/>
      <c r="P79" s="10"/>
      <c r="Q79" s="11"/>
    </row>
    <row r="80" customFormat="false" ht="15" hidden="false" customHeight="false" outlineLevel="0" collapsed="false">
      <c r="A80" s="5" t="n">
        <v>79</v>
      </c>
      <c r="B80" s="5" t="n">
        <v>5</v>
      </c>
      <c r="C80" s="5" t="n">
        <v>3</v>
      </c>
      <c r="D80" s="6" t="s">
        <v>156</v>
      </c>
      <c r="E80" s="6" t="s">
        <v>157</v>
      </c>
      <c r="F80" s="5" t="n">
        <v>19</v>
      </c>
      <c r="G80" s="5" t="s">
        <v>59</v>
      </c>
      <c r="H80" s="5" t="s">
        <v>47</v>
      </c>
      <c r="I80" s="7" t="s">
        <v>49</v>
      </c>
      <c r="J80" s="5" t="s">
        <v>45</v>
      </c>
      <c r="K80" s="8" t="n">
        <f aca="false">Progress!$B$3+(B80-1)*7+(C80-1)</f>
        <v>46356</v>
      </c>
      <c r="L80" s="9" t="s">
        <v>50</v>
      </c>
      <c r="M80" s="10"/>
      <c r="N80" s="9"/>
      <c r="O80" s="9"/>
      <c r="P80" s="10"/>
      <c r="Q80" s="11"/>
    </row>
    <row r="81" customFormat="false" ht="15" hidden="false" customHeight="false" outlineLevel="0" collapsed="false">
      <c r="A81" s="5" t="n">
        <v>80</v>
      </c>
      <c r="B81" s="5" t="n">
        <v>5</v>
      </c>
      <c r="C81" s="5" t="n">
        <v>3</v>
      </c>
      <c r="D81" s="6" t="s">
        <v>156</v>
      </c>
      <c r="E81" s="6" t="s">
        <v>158</v>
      </c>
      <c r="F81" s="5" t="n">
        <v>160</v>
      </c>
      <c r="G81" s="5" t="s">
        <v>46</v>
      </c>
      <c r="H81" s="5" t="s">
        <v>47</v>
      </c>
      <c r="I81" s="7" t="s">
        <v>49</v>
      </c>
      <c r="J81" s="5" t="s">
        <v>45</v>
      </c>
      <c r="K81" s="8" t="n">
        <f aca="false">Progress!$B$3+(B81-1)*7+(C81-1)</f>
        <v>46356</v>
      </c>
      <c r="L81" s="9" t="s">
        <v>50</v>
      </c>
      <c r="M81" s="10"/>
      <c r="N81" s="9"/>
      <c r="O81" s="9"/>
      <c r="P81" s="10"/>
      <c r="Q81" s="11"/>
    </row>
    <row r="82" customFormat="false" ht="15" hidden="false" customHeight="false" outlineLevel="0" collapsed="false">
      <c r="A82" s="5" t="n">
        <v>81</v>
      </c>
      <c r="B82" s="5" t="n">
        <v>5</v>
      </c>
      <c r="C82" s="5" t="n">
        <v>3</v>
      </c>
      <c r="D82" s="6" t="s">
        <v>156</v>
      </c>
      <c r="E82" s="6" t="s">
        <v>159</v>
      </c>
      <c r="F82" s="5" t="n">
        <v>2095</v>
      </c>
      <c r="G82" s="5" t="s">
        <v>59</v>
      </c>
      <c r="H82" s="5" t="s">
        <v>47</v>
      </c>
      <c r="I82" s="7" t="s">
        <v>49</v>
      </c>
      <c r="J82" s="5" t="s">
        <v>45</v>
      </c>
      <c r="K82" s="8" t="n">
        <f aca="false">Progress!$B$3+(B82-1)*7+(C82-1)</f>
        <v>46356</v>
      </c>
      <c r="L82" s="9" t="s">
        <v>50</v>
      </c>
      <c r="M82" s="10"/>
      <c r="N82" s="9"/>
      <c r="O82" s="9"/>
      <c r="P82" s="10"/>
      <c r="Q82" s="11"/>
    </row>
    <row r="83" customFormat="false" ht="15" hidden="false" customHeight="false" outlineLevel="0" collapsed="false">
      <c r="A83" s="5" t="n">
        <v>82</v>
      </c>
      <c r="B83" s="5" t="n">
        <v>5</v>
      </c>
      <c r="C83" s="5" t="n">
        <v>4</v>
      </c>
      <c r="D83" s="6" t="s">
        <v>160</v>
      </c>
      <c r="E83" s="6" t="s">
        <v>161</v>
      </c>
      <c r="F83" s="5" t="n">
        <v>2</v>
      </c>
      <c r="G83" s="5" t="s">
        <v>59</v>
      </c>
      <c r="H83" s="5" t="s">
        <v>47</v>
      </c>
      <c r="I83" s="7" t="s">
        <v>49</v>
      </c>
      <c r="J83" s="5" t="s">
        <v>45</v>
      </c>
      <c r="K83" s="8" t="n">
        <f aca="false">Progress!$B$3+(B83-1)*7+(C83-1)</f>
        <v>46357</v>
      </c>
      <c r="L83" s="9" t="s">
        <v>50</v>
      </c>
      <c r="M83" s="10"/>
      <c r="N83" s="9"/>
      <c r="O83" s="9"/>
      <c r="P83" s="10"/>
      <c r="Q83" s="11"/>
    </row>
    <row r="84" customFormat="false" ht="15" hidden="false" customHeight="false" outlineLevel="0" collapsed="false">
      <c r="A84" s="5" t="n">
        <v>83</v>
      </c>
      <c r="B84" s="5" t="n">
        <v>5</v>
      </c>
      <c r="C84" s="5" t="n">
        <v>4</v>
      </c>
      <c r="D84" s="6" t="s">
        <v>160</v>
      </c>
      <c r="E84" s="6" t="s">
        <v>162</v>
      </c>
      <c r="F84" s="5" t="n">
        <v>143</v>
      </c>
      <c r="G84" s="5" t="s">
        <v>59</v>
      </c>
      <c r="H84" s="5" t="s">
        <v>47</v>
      </c>
      <c r="I84" s="7" t="s">
        <v>49</v>
      </c>
      <c r="J84" s="5" t="s">
        <v>45</v>
      </c>
      <c r="K84" s="8" t="n">
        <f aca="false">Progress!$B$3+(B84-1)*7+(C84-1)</f>
        <v>46357</v>
      </c>
      <c r="L84" s="9" t="s">
        <v>50</v>
      </c>
      <c r="M84" s="10"/>
      <c r="N84" s="9"/>
      <c r="O84" s="9"/>
      <c r="P84" s="10"/>
      <c r="Q84" s="11"/>
    </row>
    <row r="85" customFormat="false" ht="15" hidden="false" customHeight="false" outlineLevel="0" collapsed="false">
      <c r="A85" s="5" t="n">
        <v>84</v>
      </c>
      <c r="B85" s="5" t="n">
        <v>5</v>
      </c>
      <c r="C85" s="5" t="n">
        <v>4</v>
      </c>
      <c r="D85" s="6" t="s">
        <v>160</v>
      </c>
      <c r="E85" s="6" t="s">
        <v>163</v>
      </c>
      <c r="F85" s="5" t="n">
        <v>83</v>
      </c>
      <c r="G85" s="5" t="s">
        <v>46</v>
      </c>
      <c r="H85" s="5" t="s">
        <v>47</v>
      </c>
      <c r="I85" s="7" t="s">
        <v>49</v>
      </c>
      <c r="J85" s="5" t="s">
        <v>45</v>
      </c>
      <c r="K85" s="8" t="n">
        <f aca="false">Progress!$B$3+(B85-1)*7+(C85-1)</f>
        <v>46357</v>
      </c>
      <c r="L85" s="9" t="s">
        <v>50</v>
      </c>
      <c r="M85" s="10"/>
      <c r="N85" s="9"/>
      <c r="O85" s="9"/>
      <c r="P85" s="10"/>
      <c r="Q85" s="11"/>
    </row>
    <row r="86" customFormat="false" ht="15" hidden="false" customHeight="false" outlineLevel="0" collapsed="false">
      <c r="A86" s="5" t="n">
        <v>85</v>
      </c>
      <c r="B86" s="5" t="n">
        <v>5</v>
      </c>
      <c r="C86" s="5" t="n">
        <v>5</v>
      </c>
      <c r="D86" s="6" t="s">
        <v>164</v>
      </c>
      <c r="E86" s="6" t="s">
        <v>165</v>
      </c>
      <c r="F86" s="5" t="n">
        <v>509</v>
      </c>
      <c r="G86" s="5" t="s">
        <v>46</v>
      </c>
      <c r="H86" s="5" t="s">
        <v>47</v>
      </c>
      <c r="I86" s="7" t="s">
        <v>49</v>
      </c>
      <c r="J86" s="5" t="s">
        <v>45</v>
      </c>
      <c r="K86" s="8" t="n">
        <f aca="false">Progress!$B$3+(B86-1)*7+(C86-1)</f>
        <v>46358</v>
      </c>
      <c r="L86" s="9" t="s">
        <v>50</v>
      </c>
      <c r="M86" s="10"/>
      <c r="N86" s="9"/>
      <c r="O86" s="9"/>
      <c r="P86" s="10"/>
      <c r="Q86" s="11"/>
    </row>
    <row r="87" customFormat="false" ht="15" hidden="false" customHeight="false" outlineLevel="0" collapsed="false">
      <c r="A87" s="5" t="n">
        <v>86</v>
      </c>
      <c r="B87" s="5" t="n">
        <v>5</v>
      </c>
      <c r="C87" s="5" t="n">
        <v>5</v>
      </c>
      <c r="D87" s="6" t="s">
        <v>164</v>
      </c>
      <c r="E87" s="6" t="s">
        <v>166</v>
      </c>
      <c r="F87" s="5" t="n">
        <v>231</v>
      </c>
      <c r="G87" s="5" t="s">
        <v>46</v>
      </c>
      <c r="H87" s="5" t="s">
        <v>47</v>
      </c>
      <c r="I87" s="7" t="s">
        <v>49</v>
      </c>
      <c r="J87" s="5" t="s">
        <v>45</v>
      </c>
      <c r="K87" s="8" t="n">
        <f aca="false">Progress!$B$3+(B87-1)*7+(C87-1)</f>
        <v>46358</v>
      </c>
      <c r="L87" s="9" t="s">
        <v>50</v>
      </c>
      <c r="M87" s="10"/>
      <c r="N87" s="9"/>
      <c r="O87" s="9"/>
      <c r="P87" s="10"/>
      <c r="Q87" s="11"/>
    </row>
    <row r="88" customFormat="false" ht="15" hidden="false" customHeight="false" outlineLevel="0" collapsed="false">
      <c r="A88" s="5" t="n">
        <v>87</v>
      </c>
      <c r="B88" s="5" t="n">
        <v>5</v>
      </c>
      <c r="C88" s="5" t="n">
        <v>5</v>
      </c>
      <c r="D88" s="6" t="s">
        <v>164</v>
      </c>
      <c r="E88" s="6" t="s">
        <v>167</v>
      </c>
      <c r="F88" s="5" t="n">
        <v>50</v>
      </c>
      <c r="G88" s="5" t="s">
        <v>59</v>
      </c>
      <c r="H88" s="5" t="s">
        <v>47</v>
      </c>
      <c r="I88" s="7" t="s">
        <v>49</v>
      </c>
      <c r="J88" s="5" t="s">
        <v>45</v>
      </c>
      <c r="K88" s="8" t="n">
        <f aca="false">Progress!$B$3+(B88-1)*7+(C88-1)</f>
        <v>46358</v>
      </c>
      <c r="L88" s="9" t="s">
        <v>50</v>
      </c>
      <c r="M88" s="10"/>
      <c r="N88" s="9"/>
      <c r="O88" s="9"/>
      <c r="P88" s="10"/>
      <c r="Q88" s="11"/>
    </row>
    <row r="89" customFormat="false" ht="15" hidden="false" customHeight="false" outlineLevel="0" collapsed="false">
      <c r="A89" s="5" t="n">
        <v>88</v>
      </c>
      <c r="B89" s="5" t="n">
        <v>5</v>
      </c>
      <c r="C89" s="5" t="n">
        <v>6</v>
      </c>
      <c r="D89" s="6" t="s">
        <v>168</v>
      </c>
      <c r="E89" s="6" t="s">
        <v>169</v>
      </c>
      <c r="F89" s="5" t="n">
        <v>70</v>
      </c>
      <c r="G89" s="5" t="s">
        <v>46</v>
      </c>
      <c r="H89" s="5" t="s">
        <v>47</v>
      </c>
      <c r="I89" s="7" t="s">
        <v>49</v>
      </c>
      <c r="J89" s="5" t="s">
        <v>45</v>
      </c>
      <c r="K89" s="8" t="n">
        <f aca="false">Progress!$B$3+(B89-1)*7+(C89-1)</f>
        <v>46359</v>
      </c>
      <c r="L89" s="9" t="s">
        <v>50</v>
      </c>
      <c r="M89" s="10"/>
      <c r="N89" s="9"/>
      <c r="O89" s="9"/>
      <c r="P89" s="10"/>
      <c r="Q89" s="11"/>
    </row>
    <row r="90" customFormat="false" ht="15" hidden="false" customHeight="false" outlineLevel="0" collapsed="false">
      <c r="A90" s="5" t="n">
        <v>89</v>
      </c>
      <c r="B90" s="5" t="n">
        <v>5</v>
      </c>
      <c r="C90" s="5" t="n">
        <v>6</v>
      </c>
      <c r="D90" s="6" t="s">
        <v>168</v>
      </c>
      <c r="E90" s="6" t="s">
        <v>170</v>
      </c>
      <c r="F90" s="5" t="n">
        <v>912</v>
      </c>
      <c r="G90" s="5" t="s">
        <v>59</v>
      </c>
      <c r="H90" s="5" t="s">
        <v>47</v>
      </c>
      <c r="I90" s="7" t="s">
        <v>49</v>
      </c>
      <c r="J90" s="5" t="s">
        <v>45</v>
      </c>
      <c r="K90" s="8" t="n">
        <f aca="false">Progress!$B$3+(B90-1)*7+(C90-1)</f>
        <v>46359</v>
      </c>
      <c r="L90" s="9" t="s">
        <v>50</v>
      </c>
      <c r="M90" s="10"/>
      <c r="N90" s="9"/>
      <c r="O90" s="9"/>
      <c r="P90" s="10"/>
      <c r="Q90" s="11"/>
    </row>
    <row r="91" customFormat="false" ht="15" hidden="false" customHeight="false" outlineLevel="0" collapsed="false">
      <c r="A91" s="5" t="n">
        <v>90</v>
      </c>
      <c r="B91" s="5" t="n">
        <v>5</v>
      </c>
      <c r="C91" s="5" t="n">
        <v>6</v>
      </c>
      <c r="D91" s="6" t="s">
        <v>168</v>
      </c>
      <c r="E91" s="6" t="s">
        <v>171</v>
      </c>
      <c r="F91" s="5" t="n">
        <v>287</v>
      </c>
      <c r="G91" s="5" t="s">
        <v>59</v>
      </c>
      <c r="H91" s="5" t="s">
        <v>106</v>
      </c>
      <c r="I91" s="7" t="s">
        <v>49</v>
      </c>
      <c r="J91" s="5" t="s">
        <v>45</v>
      </c>
      <c r="K91" s="8" t="n">
        <f aca="false">Progress!$B$3+(B91-1)*7+(C91-1)</f>
        <v>46359</v>
      </c>
      <c r="L91" s="9" t="s">
        <v>50</v>
      </c>
      <c r="M91" s="10"/>
      <c r="N91" s="9"/>
      <c r="O91" s="9"/>
      <c r="P91" s="10"/>
      <c r="Q91" s="11"/>
    </row>
    <row r="92" customFormat="false" ht="15" hidden="false" customHeight="false" outlineLevel="0" collapsed="false">
      <c r="A92" s="5" t="n">
        <v>91</v>
      </c>
      <c r="B92" s="5" t="n">
        <v>6</v>
      </c>
      <c r="C92" s="5" t="n">
        <v>1</v>
      </c>
      <c r="D92" s="6" t="s">
        <v>172</v>
      </c>
      <c r="E92" s="6" t="s">
        <v>173</v>
      </c>
      <c r="F92" s="5" t="n">
        <v>94</v>
      </c>
      <c r="G92" s="5" t="s">
        <v>46</v>
      </c>
      <c r="H92" s="5" t="s">
        <v>47</v>
      </c>
      <c r="I92" s="7" t="s">
        <v>49</v>
      </c>
      <c r="J92" s="5" t="s">
        <v>45</v>
      </c>
      <c r="K92" s="8" t="n">
        <f aca="false">Progress!$B$3+(B92-1)*7+(C92-1)</f>
        <v>46361</v>
      </c>
      <c r="L92" s="9" t="s">
        <v>50</v>
      </c>
      <c r="M92" s="10"/>
      <c r="N92" s="9"/>
      <c r="O92" s="9"/>
      <c r="P92" s="10"/>
      <c r="Q92" s="11"/>
    </row>
    <row r="93" customFormat="false" ht="15" hidden="false" customHeight="false" outlineLevel="0" collapsed="false">
      <c r="A93" s="5" t="n">
        <v>92</v>
      </c>
      <c r="B93" s="5" t="n">
        <v>6</v>
      </c>
      <c r="C93" s="5" t="n">
        <v>1</v>
      </c>
      <c r="D93" s="6" t="s">
        <v>172</v>
      </c>
      <c r="E93" s="6" t="s">
        <v>174</v>
      </c>
      <c r="F93" s="5" t="n">
        <v>144</v>
      </c>
      <c r="G93" s="5" t="s">
        <v>46</v>
      </c>
      <c r="H93" s="5" t="s">
        <v>47</v>
      </c>
      <c r="I93" s="7" t="s">
        <v>49</v>
      </c>
      <c r="J93" s="5" t="s">
        <v>45</v>
      </c>
      <c r="K93" s="8" t="n">
        <f aca="false">Progress!$B$3+(B93-1)*7+(C93-1)</f>
        <v>46361</v>
      </c>
      <c r="L93" s="9" t="s">
        <v>50</v>
      </c>
      <c r="M93" s="10"/>
      <c r="N93" s="9"/>
      <c r="O93" s="9"/>
      <c r="P93" s="10"/>
      <c r="Q93" s="11"/>
    </row>
    <row r="94" customFormat="false" ht="15" hidden="false" customHeight="false" outlineLevel="0" collapsed="false">
      <c r="A94" s="5" t="n">
        <v>93</v>
      </c>
      <c r="B94" s="5" t="n">
        <v>6</v>
      </c>
      <c r="C94" s="5" t="n">
        <v>1</v>
      </c>
      <c r="D94" s="6" t="s">
        <v>172</v>
      </c>
      <c r="E94" s="6" t="s">
        <v>175</v>
      </c>
      <c r="F94" s="5" t="n">
        <v>145</v>
      </c>
      <c r="G94" s="5" t="s">
        <v>46</v>
      </c>
      <c r="H94" s="5" t="s">
        <v>47</v>
      </c>
      <c r="I94" s="7" t="s">
        <v>49</v>
      </c>
      <c r="J94" s="5" t="s">
        <v>45</v>
      </c>
      <c r="K94" s="8" t="n">
        <f aca="false">Progress!$B$3+(B94-1)*7+(C94-1)</f>
        <v>46361</v>
      </c>
      <c r="L94" s="9" t="s">
        <v>50</v>
      </c>
      <c r="M94" s="10"/>
      <c r="N94" s="9"/>
      <c r="O94" s="9"/>
      <c r="P94" s="10"/>
      <c r="Q94" s="11"/>
    </row>
    <row r="95" customFormat="false" ht="15" hidden="false" customHeight="false" outlineLevel="0" collapsed="false">
      <c r="A95" s="5" t="n">
        <v>94</v>
      </c>
      <c r="B95" s="5" t="n">
        <v>6</v>
      </c>
      <c r="C95" s="5" t="n">
        <v>2</v>
      </c>
      <c r="D95" s="6" t="s">
        <v>176</v>
      </c>
      <c r="E95" s="6" t="s">
        <v>177</v>
      </c>
      <c r="F95" s="5" t="n">
        <v>104</v>
      </c>
      <c r="G95" s="5" t="s">
        <v>46</v>
      </c>
      <c r="H95" s="5" t="s">
        <v>47</v>
      </c>
      <c r="I95" s="7" t="s">
        <v>49</v>
      </c>
      <c r="J95" s="5" t="s">
        <v>45</v>
      </c>
      <c r="K95" s="8" t="n">
        <f aca="false">Progress!$B$3+(B95-1)*7+(C95-1)</f>
        <v>46362</v>
      </c>
      <c r="L95" s="9" t="s">
        <v>50</v>
      </c>
      <c r="M95" s="10"/>
      <c r="N95" s="9"/>
      <c r="O95" s="9"/>
      <c r="P95" s="10"/>
      <c r="Q95" s="11"/>
    </row>
    <row r="96" customFormat="false" ht="15" hidden="false" customHeight="false" outlineLevel="0" collapsed="false">
      <c r="A96" s="5" t="n">
        <v>95</v>
      </c>
      <c r="B96" s="5" t="n">
        <v>6</v>
      </c>
      <c r="C96" s="5" t="n">
        <v>2</v>
      </c>
      <c r="D96" s="6" t="s">
        <v>176</v>
      </c>
      <c r="E96" s="6" t="s">
        <v>178</v>
      </c>
      <c r="F96" s="5" t="n">
        <v>226</v>
      </c>
      <c r="G96" s="5" t="s">
        <v>46</v>
      </c>
      <c r="H96" s="5" t="s">
        <v>47</v>
      </c>
      <c r="I96" s="7" t="s">
        <v>49</v>
      </c>
      <c r="J96" s="5" t="s">
        <v>45</v>
      </c>
      <c r="K96" s="8" t="n">
        <f aca="false">Progress!$B$3+(B96-1)*7+(C96-1)</f>
        <v>46362</v>
      </c>
      <c r="L96" s="9" t="s">
        <v>50</v>
      </c>
      <c r="M96" s="10"/>
      <c r="N96" s="9"/>
      <c r="O96" s="9"/>
      <c r="P96" s="10"/>
      <c r="Q96" s="11"/>
    </row>
    <row r="97" customFormat="false" ht="15" hidden="false" customHeight="false" outlineLevel="0" collapsed="false">
      <c r="A97" s="5" t="n">
        <v>96</v>
      </c>
      <c r="B97" s="5" t="n">
        <v>6</v>
      </c>
      <c r="C97" s="5" t="n">
        <v>2</v>
      </c>
      <c r="D97" s="6" t="s">
        <v>176</v>
      </c>
      <c r="E97" s="6" t="s">
        <v>179</v>
      </c>
      <c r="F97" s="5" t="n">
        <v>100</v>
      </c>
      <c r="G97" s="5" t="s">
        <v>46</v>
      </c>
      <c r="H97" s="5" t="s">
        <v>47</v>
      </c>
      <c r="I97" s="7" t="s">
        <v>49</v>
      </c>
      <c r="J97" s="5" t="s">
        <v>45</v>
      </c>
      <c r="K97" s="8" t="n">
        <f aca="false">Progress!$B$3+(B97-1)*7+(C97-1)</f>
        <v>46362</v>
      </c>
      <c r="L97" s="9" t="s">
        <v>50</v>
      </c>
      <c r="M97" s="10"/>
      <c r="N97" s="9"/>
      <c r="O97" s="9"/>
      <c r="P97" s="10"/>
      <c r="Q97" s="11"/>
    </row>
    <row r="98" customFormat="false" ht="15" hidden="false" customHeight="false" outlineLevel="0" collapsed="false">
      <c r="A98" s="5" t="n">
        <v>97</v>
      </c>
      <c r="B98" s="5" t="n">
        <v>6</v>
      </c>
      <c r="C98" s="5" t="n">
        <v>3</v>
      </c>
      <c r="D98" s="6" t="s">
        <v>180</v>
      </c>
      <c r="E98" s="6" t="s">
        <v>181</v>
      </c>
      <c r="F98" s="5" t="n">
        <v>101</v>
      </c>
      <c r="G98" s="5" t="s">
        <v>46</v>
      </c>
      <c r="H98" s="5" t="s">
        <v>47</v>
      </c>
      <c r="I98" s="7" t="s">
        <v>49</v>
      </c>
      <c r="J98" s="5" t="s">
        <v>45</v>
      </c>
      <c r="K98" s="8" t="n">
        <f aca="false">Progress!$B$3+(B98-1)*7+(C98-1)</f>
        <v>46363</v>
      </c>
      <c r="L98" s="9" t="s">
        <v>50</v>
      </c>
      <c r="M98" s="10"/>
      <c r="N98" s="9"/>
      <c r="O98" s="9"/>
      <c r="P98" s="10"/>
      <c r="Q98" s="11"/>
    </row>
    <row r="99" customFormat="false" ht="15" hidden="false" customHeight="false" outlineLevel="0" collapsed="false">
      <c r="A99" s="5" t="n">
        <v>98</v>
      </c>
      <c r="B99" s="5" t="n">
        <v>6</v>
      </c>
      <c r="C99" s="5" t="n">
        <v>3</v>
      </c>
      <c r="D99" s="6" t="s">
        <v>180</v>
      </c>
      <c r="E99" s="6" t="s">
        <v>182</v>
      </c>
      <c r="F99" s="5" t="n">
        <v>112</v>
      </c>
      <c r="G99" s="5" t="s">
        <v>46</v>
      </c>
      <c r="H99" s="5" t="s">
        <v>47</v>
      </c>
      <c r="I99" s="7" t="s">
        <v>49</v>
      </c>
      <c r="J99" s="5" t="s">
        <v>45</v>
      </c>
      <c r="K99" s="8" t="n">
        <f aca="false">Progress!$B$3+(B99-1)*7+(C99-1)</f>
        <v>46363</v>
      </c>
      <c r="L99" s="9" t="s">
        <v>50</v>
      </c>
      <c r="M99" s="10"/>
      <c r="N99" s="9"/>
      <c r="O99" s="9"/>
      <c r="P99" s="10"/>
      <c r="Q99" s="11"/>
    </row>
    <row r="100" customFormat="false" ht="15" hidden="false" customHeight="false" outlineLevel="0" collapsed="false">
      <c r="A100" s="5" t="n">
        <v>99</v>
      </c>
      <c r="B100" s="5" t="n">
        <v>6</v>
      </c>
      <c r="C100" s="5" t="n">
        <v>3</v>
      </c>
      <c r="D100" s="6" t="s">
        <v>180</v>
      </c>
      <c r="E100" s="6" t="s">
        <v>183</v>
      </c>
      <c r="F100" s="5" t="n">
        <v>543</v>
      </c>
      <c r="G100" s="5" t="s">
        <v>46</v>
      </c>
      <c r="H100" s="5" t="s">
        <v>47</v>
      </c>
      <c r="I100" s="7" t="s">
        <v>49</v>
      </c>
      <c r="J100" s="5" t="s">
        <v>45</v>
      </c>
      <c r="K100" s="8" t="n">
        <f aca="false">Progress!$B$3+(B100-1)*7+(C100-1)</f>
        <v>46363</v>
      </c>
      <c r="L100" s="9" t="s">
        <v>50</v>
      </c>
      <c r="M100" s="10"/>
      <c r="N100" s="9"/>
      <c r="O100" s="9"/>
      <c r="P100" s="10"/>
      <c r="Q100" s="11"/>
    </row>
    <row r="101" customFormat="false" ht="15" hidden="false" customHeight="false" outlineLevel="0" collapsed="false">
      <c r="A101" s="5" t="n">
        <v>100</v>
      </c>
      <c r="B101" s="5" t="n">
        <v>6</v>
      </c>
      <c r="C101" s="5" t="n">
        <v>4</v>
      </c>
      <c r="D101" s="6" t="s">
        <v>184</v>
      </c>
      <c r="E101" s="6" t="s">
        <v>185</v>
      </c>
      <c r="F101" s="5" t="n">
        <v>102</v>
      </c>
      <c r="G101" s="5" t="s">
        <v>59</v>
      </c>
      <c r="H101" s="5" t="s">
        <v>47</v>
      </c>
      <c r="I101" s="7" t="s">
        <v>49</v>
      </c>
      <c r="J101" s="5" t="s">
        <v>45</v>
      </c>
      <c r="K101" s="8" t="n">
        <f aca="false">Progress!$B$3+(B101-1)*7+(C101-1)</f>
        <v>46364</v>
      </c>
      <c r="L101" s="9" t="s">
        <v>50</v>
      </c>
      <c r="M101" s="10"/>
      <c r="N101" s="9"/>
      <c r="O101" s="9"/>
      <c r="P101" s="10"/>
      <c r="Q101" s="11"/>
    </row>
    <row r="102" customFormat="false" ht="15" hidden="false" customHeight="false" outlineLevel="0" collapsed="false">
      <c r="A102" s="5" t="n">
        <v>101</v>
      </c>
      <c r="B102" s="5" t="n">
        <v>6</v>
      </c>
      <c r="C102" s="5" t="n">
        <v>4</v>
      </c>
      <c r="D102" s="6" t="s">
        <v>184</v>
      </c>
      <c r="E102" s="6" t="s">
        <v>186</v>
      </c>
      <c r="F102" s="5" t="n">
        <v>199</v>
      </c>
      <c r="G102" s="5" t="s">
        <v>59</v>
      </c>
      <c r="H102" s="5" t="s">
        <v>47</v>
      </c>
      <c r="I102" s="7" t="s">
        <v>49</v>
      </c>
      <c r="J102" s="5" t="s">
        <v>45</v>
      </c>
      <c r="K102" s="8" t="n">
        <f aca="false">Progress!$B$3+(B102-1)*7+(C102-1)</f>
        <v>46364</v>
      </c>
      <c r="L102" s="9" t="s">
        <v>50</v>
      </c>
      <c r="M102" s="10"/>
      <c r="N102" s="9"/>
      <c r="O102" s="9"/>
      <c r="P102" s="10"/>
      <c r="Q102" s="11"/>
    </row>
    <row r="103" customFormat="false" ht="15" hidden="false" customHeight="false" outlineLevel="0" collapsed="false">
      <c r="A103" s="5" t="n">
        <v>102</v>
      </c>
      <c r="B103" s="5" t="n">
        <v>6</v>
      </c>
      <c r="C103" s="5" t="n">
        <v>4</v>
      </c>
      <c r="D103" s="6" t="s">
        <v>184</v>
      </c>
      <c r="E103" s="6" t="s">
        <v>187</v>
      </c>
      <c r="F103" s="5" t="n">
        <v>111</v>
      </c>
      <c r="G103" s="5" t="s">
        <v>46</v>
      </c>
      <c r="H103" s="5" t="s">
        <v>47</v>
      </c>
      <c r="I103" s="7" t="s">
        <v>49</v>
      </c>
      <c r="J103" s="5" t="s">
        <v>45</v>
      </c>
      <c r="K103" s="8" t="n">
        <f aca="false">Progress!$B$3+(B103-1)*7+(C103-1)</f>
        <v>46364</v>
      </c>
      <c r="L103" s="9" t="s">
        <v>50</v>
      </c>
      <c r="M103" s="10"/>
      <c r="N103" s="9"/>
      <c r="O103" s="9"/>
      <c r="P103" s="10"/>
      <c r="Q103" s="11"/>
    </row>
    <row r="104" customFormat="false" ht="15" hidden="false" customHeight="false" outlineLevel="0" collapsed="false">
      <c r="A104" s="5" t="n">
        <v>103</v>
      </c>
      <c r="B104" s="5" t="n">
        <v>6</v>
      </c>
      <c r="C104" s="5" t="n">
        <v>5</v>
      </c>
      <c r="D104" s="6" t="s">
        <v>188</v>
      </c>
      <c r="E104" s="6" t="s">
        <v>189</v>
      </c>
      <c r="F104" s="5" t="n">
        <v>78</v>
      </c>
      <c r="G104" s="5" t="s">
        <v>59</v>
      </c>
      <c r="H104" s="5" t="s">
        <v>47</v>
      </c>
      <c r="I104" s="7" t="s">
        <v>49</v>
      </c>
      <c r="J104" s="5" t="s">
        <v>45</v>
      </c>
      <c r="K104" s="8" t="n">
        <f aca="false">Progress!$B$3+(B104-1)*7+(C104-1)</f>
        <v>46365</v>
      </c>
      <c r="L104" s="9" t="s">
        <v>50</v>
      </c>
      <c r="M104" s="10"/>
      <c r="N104" s="9"/>
      <c r="O104" s="9"/>
      <c r="P104" s="10"/>
      <c r="Q104" s="11"/>
    </row>
    <row r="105" customFormat="false" ht="15" hidden="false" customHeight="false" outlineLevel="0" collapsed="false">
      <c r="A105" s="5" t="n">
        <v>104</v>
      </c>
      <c r="B105" s="5" t="n">
        <v>6</v>
      </c>
      <c r="C105" s="5" t="n">
        <v>5</v>
      </c>
      <c r="D105" s="6" t="s">
        <v>188</v>
      </c>
      <c r="E105" s="6" t="s">
        <v>190</v>
      </c>
      <c r="F105" s="5" t="n">
        <v>46</v>
      </c>
      <c r="G105" s="5" t="s">
        <v>59</v>
      </c>
      <c r="H105" s="5" t="s">
        <v>47</v>
      </c>
      <c r="I105" s="7" t="s">
        <v>49</v>
      </c>
      <c r="J105" s="5" t="s">
        <v>45</v>
      </c>
      <c r="K105" s="8" t="n">
        <f aca="false">Progress!$B$3+(B105-1)*7+(C105-1)</f>
        <v>46365</v>
      </c>
      <c r="L105" s="9" t="s">
        <v>50</v>
      </c>
      <c r="M105" s="10"/>
      <c r="N105" s="9"/>
      <c r="O105" s="9"/>
      <c r="P105" s="10"/>
      <c r="Q105" s="11"/>
    </row>
    <row r="106" customFormat="false" ht="15" hidden="false" customHeight="false" outlineLevel="0" collapsed="false">
      <c r="A106" s="5" t="n">
        <v>105</v>
      </c>
      <c r="B106" s="5" t="n">
        <v>6</v>
      </c>
      <c r="C106" s="5" t="n">
        <v>5</v>
      </c>
      <c r="D106" s="6" t="s">
        <v>188</v>
      </c>
      <c r="E106" s="6" t="s">
        <v>191</v>
      </c>
      <c r="F106" s="5" t="n">
        <v>39</v>
      </c>
      <c r="G106" s="5" t="s">
        <v>59</v>
      </c>
      <c r="H106" s="5" t="s">
        <v>47</v>
      </c>
      <c r="I106" s="7" t="s">
        <v>49</v>
      </c>
      <c r="J106" s="5" t="s">
        <v>45</v>
      </c>
      <c r="K106" s="8" t="n">
        <f aca="false">Progress!$B$3+(B106-1)*7+(C106-1)</f>
        <v>46365</v>
      </c>
      <c r="L106" s="9" t="s">
        <v>50</v>
      </c>
      <c r="M106" s="10"/>
      <c r="N106" s="9"/>
      <c r="O106" s="9"/>
      <c r="P106" s="10"/>
      <c r="Q106" s="11"/>
    </row>
    <row r="107" customFormat="false" ht="15" hidden="false" customHeight="false" outlineLevel="0" collapsed="false">
      <c r="A107" s="5" t="n">
        <v>106</v>
      </c>
      <c r="B107" s="5" t="n">
        <v>6</v>
      </c>
      <c r="C107" s="5" t="n">
        <v>6</v>
      </c>
      <c r="D107" s="6" t="s">
        <v>192</v>
      </c>
      <c r="E107" s="6" t="s">
        <v>193</v>
      </c>
      <c r="F107" s="5" t="n">
        <v>17</v>
      </c>
      <c r="G107" s="5" t="s">
        <v>59</v>
      </c>
      <c r="H107" s="5" t="s">
        <v>47</v>
      </c>
      <c r="I107" s="7" t="s">
        <v>49</v>
      </c>
      <c r="J107" s="5" t="s">
        <v>45</v>
      </c>
      <c r="K107" s="8" t="n">
        <f aca="false">Progress!$B$3+(B107-1)*7+(C107-1)</f>
        <v>46366</v>
      </c>
      <c r="L107" s="9" t="s">
        <v>50</v>
      </c>
      <c r="M107" s="10"/>
      <c r="N107" s="9"/>
      <c r="O107" s="9"/>
      <c r="P107" s="10"/>
      <c r="Q107" s="11"/>
    </row>
    <row r="108" customFormat="false" ht="15" hidden="false" customHeight="false" outlineLevel="0" collapsed="false">
      <c r="A108" s="5" t="n">
        <v>107</v>
      </c>
      <c r="B108" s="5" t="n">
        <v>6</v>
      </c>
      <c r="C108" s="5" t="n">
        <v>6</v>
      </c>
      <c r="D108" s="6" t="s">
        <v>192</v>
      </c>
      <c r="E108" s="6" t="s">
        <v>194</v>
      </c>
      <c r="F108" s="5" t="n">
        <v>131</v>
      </c>
      <c r="G108" s="5" t="s">
        <v>59</v>
      </c>
      <c r="H108" s="5" t="s">
        <v>47</v>
      </c>
      <c r="I108" s="7" t="s">
        <v>49</v>
      </c>
      <c r="J108" s="5" t="s">
        <v>45</v>
      </c>
      <c r="K108" s="8" t="n">
        <f aca="false">Progress!$B$3+(B108-1)*7+(C108-1)</f>
        <v>46366</v>
      </c>
      <c r="L108" s="9" t="s">
        <v>50</v>
      </c>
      <c r="M108" s="10"/>
      <c r="N108" s="9"/>
      <c r="O108" s="9"/>
      <c r="P108" s="10"/>
      <c r="Q108" s="11"/>
    </row>
    <row r="109" customFormat="false" ht="15" hidden="false" customHeight="false" outlineLevel="0" collapsed="false">
      <c r="A109" s="5" t="n">
        <v>108</v>
      </c>
      <c r="B109" s="5" t="n">
        <v>6</v>
      </c>
      <c r="C109" s="5" t="n">
        <v>6</v>
      </c>
      <c r="D109" s="6" t="s">
        <v>192</v>
      </c>
      <c r="E109" s="6" t="s">
        <v>195</v>
      </c>
      <c r="F109" s="5" t="n">
        <v>22</v>
      </c>
      <c r="G109" s="5" t="s">
        <v>59</v>
      </c>
      <c r="H109" s="5" t="s">
        <v>47</v>
      </c>
      <c r="I109" s="7" t="s">
        <v>49</v>
      </c>
      <c r="J109" s="5" t="s">
        <v>45</v>
      </c>
      <c r="K109" s="8" t="n">
        <f aca="false">Progress!$B$3+(B109-1)*7+(C109-1)</f>
        <v>46366</v>
      </c>
      <c r="L109" s="9" t="s">
        <v>50</v>
      </c>
      <c r="M109" s="10"/>
      <c r="N109" s="9"/>
      <c r="O109" s="9"/>
      <c r="P109" s="10"/>
      <c r="Q109" s="11"/>
    </row>
    <row r="110" customFormat="false" ht="15" hidden="false" customHeight="false" outlineLevel="0" collapsed="false">
      <c r="A110" s="5" t="n">
        <v>109</v>
      </c>
      <c r="B110" s="5" t="n">
        <v>7</v>
      </c>
      <c r="C110" s="5" t="n">
        <v>1</v>
      </c>
      <c r="D110" s="6" t="s">
        <v>196</v>
      </c>
      <c r="E110" s="6" t="s">
        <v>197</v>
      </c>
      <c r="F110" s="5" t="n">
        <v>98</v>
      </c>
      <c r="G110" s="5" t="s">
        <v>59</v>
      </c>
      <c r="H110" s="5" t="s">
        <v>47</v>
      </c>
      <c r="I110" s="7" t="s">
        <v>49</v>
      </c>
      <c r="J110" s="5" t="s">
        <v>45</v>
      </c>
      <c r="K110" s="8" t="n">
        <f aca="false">Progress!$B$3+(B110-1)*7+(C110-1)</f>
        <v>46368</v>
      </c>
      <c r="L110" s="9" t="s">
        <v>50</v>
      </c>
      <c r="M110" s="10"/>
      <c r="N110" s="9"/>
      <c r="O110" s="9"/>
      <c r="P110" s="10"/>
      <c r="Q110" s="11"/>
    </row>
    <row r="111" customFormat="false" ht="15" hidden="false" customHeight="false" outlineLevel="0" collapsed="false">
      <c r="A111" s="5" t="n">
        <v>110</v>
      </c>
      <c r="B111" s="5" t="n">
        <v>7</v>
      </c>
      <c r="C111" s="5" t="n">
        <v>1</v>
      </c>
      <c r="D111" s="6" t="s">
        <v>196</v>
      </c>
      <c r="E111" s="6" t="s">
        <v>198</v>
      </c>
      <c r="F111" s="5" t="n">
        <v>700</v>
      </c>
      <c r="G111" s="5" t="s">
        <v>46</v>
      </c>
      <c r="H111" s="5" t="s">
        <v>47</v>
      </c>
      <c r="I111" s="7" t="s">
        <v>49</v>
      </c>
      <c r="J111" s="5" t="s">
        <v>45</v>
      </c>
      <c r="K111" s="8" t="n">
        <f aca="false">Progress!$B$3+(B111-1)*7+(C111-1)</f>
        <v>46368</v>
      </c>
      <c r="L111" s="9" t="s">
        <v>50</v>
      </c>
      <c r="M111" s="10"/>
      <c r="N111" s="9"/>
      <c r="O111" s="9"/>
      <c r="P111" s="10"/>
      <c r="Q111" s="11"/>
    </row>
    <row r="112" customFormat="false" ht="15" hidden="false" customHeight="false" outlineLevel="0" collapsed="false">
      <c r="A112" s="5" t="n">
        <v>111</v>
      </c>
      <c r="B112" s="5" t="n">
        <v>7</v>
      </c>
      <c r="C112" s="5" t="n">
        <v>1</v>
      </c>
      <c r="D112" s="6" t="s">
        <v>196</v>
      </c>
      <c r="E112" s="6" t="s">
        <v>199</v>
      </c>
      <c r="F112" s="5" t="n">
        <v>701</v>
      </c>
      <c r="G112" s="5" t="s">
        <v>59</v>
      </c>
      <c r="H112" s="5" t="s">
        <v>47</v>
      </c>
      <c r="I112" s="7" t="s">
        <v>49</v>
      </c>
      <c r="J112" s="7" t="s">
        <v>49</v>
      </c>
      <c r="K112" s="8" t="n">
        <f aca="false">Progress!$B$3+(B112-1)*7+(C112-1)</f>
        <v>46368</v>
      </c>
      <c r="L112" s="9" t="s">
        <v>50</v>
      </c>
      <c r="M112" s="10"/>
      <c r="N112" s="9"/>
      <c r="O112" s="9"/>
      <c r="P112" s="10"/>
      <c r="Q112" s="11"/>
    </row>
    <row r="113" customFormat="false" ht="15" hidden="false" customHeight="false" outlineLevel="0" collapsed="false">
      <c r="A113" s="5" t="n">
        <v>112</v>
      </c>
      <c r="B113" s="5" t="n">
        <v>7</v>
      </c>
      <c r="C113" s="5" t="n">
        <v>2</v>
      </c>
      <c r="D113" s="6" t="s">
        <v>200</v>
      </c>
      <c r="E113" s="6" t="s">
        <v>201</v>
      </c>
      <c r="F113" s="5" t="n">
        <v>235</v>
      </c>
      <c r="G113" s="5" t="s">
        <v>59</v>
      </c>
      <c r="H113" s="5" t="s">
        <v>47</v>
      </c>
      <c r="I113" s="7" t="s">
        <v>49</v>
      </c>
      <c r="J113" s="5" t="s">
        <v>45</v>
      </c>
      <c r="K113" s="8" t="n">
        <f aca="false">Progress!$B$3+(B113-1)*7+(C113-1)</f>
        <v>46369</v>
      </c>
      <c r="L113" s="9" t="s">
        <v>50</v>
      </c>
      <c r="M113" s="10"/>
      <c r="N113" s="9"/>
      <c r="O113" s="9"/>
      <c r="P113" s="10"/>
      <c r="Q113" s="11"/>
    </row>
    <row r="114" customFormat="false" ht="15" hidden="false" customHeight="false" outlineLevel="0" collapsed="false">
      <c r="A114" s="5" t="n">
        <v>113</v>
      </c>
      <c r="B114" s="5" t="n">
        <v>7</v>
      </c>
      <c r="C114" s="5" t="n">
        <v>2</v>
      </c>
      <c r="D114" s="6" t="s">
        <v>200</v>
      </c>
      <c r="E114" s="6" t="s">
        <v>202</v>
      </c>
      <c r="F114" s="5" t="n">
        <v>236</v>
      </c>
      <c r="G114" s="5" t="s">
        <v>59</v>
      </c>
      <c r="H114" s="5" t="s">
        <v>47</v>
      </c>
      <c r="I114" s="7" t="s">
        <v>49</v>
      </c>
      <c r="J114" s="5" t="s">
        <v>45</v>
      </c>
      <c r="K114" s="8" t="n">
        <f aca="false">Progress!$B$3+(B114-1)*7+(C114-1)</f>
        <v>46369</v>
      </c>
      <c r="L114" s="9" t="s">
        <v>50</v>
      </c>
      <c r="M114" s="10"/>
      <c r="N114" s="9"/>
      <c r="O114" s="9"/>
      <c r="P114" s="10"/>
      <c r="Q114" s="11"/>
    </row>
    <row r="115" customFormat="false" ht="15" hidden="false" customHeight="false" outlineLevel="0" collapsed="false">
      <c r="A115" s="5" t="n">
        <v>114</v>
      </c>
      <c r="B115" s="5" t="n">
        <v>7</v>
      </c>
      <c r="C115" s="5" t="n">
        <v>2</v>
      </c>
      <c r="D115" s="6" t="s">
        <v>200</v>
      </c>
      <c r="E115" s="6" t="s">
        <v>203</v>
      </c>
      <c r="F115" s="5" t="n">
        <v>230</v>
      </c>
      <c r="G115" s="5" t="s">
        <v>59</v>
      </c>
      <c r="H115" s="5" t="s">
        <v>47</v>
      </c>
      <c r="I115" s="7" t="s">
        <v>49</v>
      </c>
      <c r="J115" s="5" t="s">
        <v>45</v>
      </c>
      <c r="K115" s="8" t="n">
        <f aca="false">Progress!$B$3+(B115-1)*7+(C115-1)</f>
        <v>46369</v>
      </c>
      <c r="L115" s="9" t="s">
        <v>50</v>
      </c>
      <c r="M115" s="10"/>
      <c r="N115" s="9"/>
      <c r="O115" s="9"/>
      <c r="P115" s="10"/>
      <c r="Q115" s="11"/>
    </row>
    <row r="116" customFormat="false" ht="15" hidden="false" customHeight="false" outlineLevel="0" collapsed="false">
      <c r="A116" s="5" t="n">
        <v>115</v>
      </c>
      <c r="B116" s="5" t="n">
        <v>7</v>
      </c>
      <c r="C116" s="5" t="n">
        <v>3</v>
      </c>
      <c r="D116" s="6" t="s">
        <v>204</v>
      </c>
      <c r="E116" s="6" t="s">
        <v>205</v>
      </c>
      <c r="F116" s="5" t="n">
        <v>108</v>
      </c>
      <c r="G116" s="5" t="s">
        <v>46</v>
      </c>
      <c r="H116" s="5" t="s">
        <v>47</v>
      </c>
      <c r="I116" s="7" t="s">
        <v>49</v>
      </c>
      <c r="J116" s="5" t="s">
        <v>45</v>
      </c>
      <c r="K116" s="8" t="n">
        <f aca="false">Progress!$B$3+(B116-1)*7+(C116-1)</f>
        <v>46370</v>
      </c>
      <c r="L116" s="9" t="s">
        <v>50</v>
      </c>
      <c r="M116" s="10"/>
      <c r="N116" s="9"/>
      <c r="O116" s="9"/>
      <c r="P116" s="10"/>
      <c r="Q116" s="11"/>
    </row>
    <row r="117" customFormat="false" ht="15" hidden="false" customHeight="false" outlineLevel="0" collapsed="false">
      <c r="A117" s="5" t="n">
        <v>116</v>
      </c>
      <c r="B117" s="5" t="n">
        <v>7</v>
      </c>
      <c r="C117" s="5" t="n">
        <v>3</v>
      </c>
      <c r="D117" s="6" t="s">
        <v>204</v>
      </c>
      <c r="E117" s="6" t="s">
        <v>206</v>
      </c>
      <c r="F117" s="5" t="n">
        <v>110</v>
      </c>
      <c r="G117" s="5" t="s">
        <v>46</v>
      </c>
      <c r="H117" s="5" t="s">
        <v>47</v>
      </c>
      <c r="I117" s="7" t="s">
        <v>49</v>
      </c>
      <c r="J117" s="5" t="s">
        <v>45</v>
      </c>
      <c r="K117" s="8" t="n">
        <f aca="false">Progress!$B$3+(B117-1)*7+(C117-1)</f>
        <v>46370</v>
      </c>
      <c r="L117" s="9" t="s">
        <v>50</v>
      </c>
      <c r="M117" s="10"/>
      <c r="N117" s="9"/>
      <c r="O117" s="9"/>
      <c r="P117" s="10"/>
      <c r="Q117" s="11"/>
    </row>
    <row r="118" customFormat="false" ht="15" hidden="false" customHeight="false" outlineLevel="0" collapsed="false">
      <c r="A118" s="5" t="n">
        <v>117</v>
      </c>
      <c r="B118" s="5" t="n">
        <v>7</v>
      </c>
      <c r="C118" s="5" t="n">
        <v>3</v>
      </c>
      <c r="D118" s="6" t="s">
        <v>204</v>
      </c>
      <c r="E118" s="6" t="s">
        <v>207</v>
      </c>
      <c r="F118" s="5" t="n">
        <v>572</v>
      </c>
      <c r="G118" s="5" t="s">
        <v>46</v>
      </c>
      <c r="H118" s="5" t="s">
        <v>47</v>
      </c>
      <c r="I118" s="7" t="s">
        <v>49</v>
      </c>
      <c r="J118" s="5" t="s">
        <v>45</v>
      </c>
      <c r="K118" s="8" t="n">
        <f aca="false">Progress!$B$3+(B118-1)*7+(C118-1)</f>
        <v>46370</v>
      </c>
      <c r="L118" s="9" t="s">
        <v>50</v>
      </c>
      <c r="M118" s="10"/>
      <c r="N118" s="9"/>
      <c r="O118" s="9"/>
      <c r="P118" s="10"/>
      <c r="Q118" s="11"/>
    </row>
    <row r="119" customFormat="false" ht="15" hidden="false" customHeight="false" outlineLevel="0" collapsed="false">
      <c r="A119" s="5" t="n">
        <v>118</v>
      </c>
      <c r="B119" s="5" t="n">
        <v>7</v>
      </c>
      <c r="C119" s="5" t="n">
        <v>4</v>
      </c>
      <c r="D119" s="6" t="s">
        <v>208</v>
      </c>
      <c r="E119" s="6" t="s">
        <v>209</v>
      </c>
      <c r="F119" s="5" t="n">
        <v>215</v>
      </c>
      <c r="G119" s="5" t="s">
        <v>59</v>
      </c>
      <c r="H119" s="5" t="s">
        <v>47</v>
      </c>
      <c r="I119" s="7" t="s">
        <v>49</v>
      </c>
      <c r="J119" s="5" t="s">
        <v>45</v>
      </c>
      <c r="K119" s="8" t="n">
        <f aca="false">Progress!$B$3+(B119-1)*7+(C119-1)</f>
        <v>46371</v>
      </c>
      <c r="L119" s="9" t="s">
        <v>50</v>
      </c>
      <c r="M119" s="10"/>
      <c r="N119" s="9"/>
      <c r="O119" s="9"/>
      <c r="P119" s="10"/>
      <c r="Q119" s="11"/>
    </row>
    <row r="120" customFormat="false" ht="15" hidden="false" customHeight="false" outlineLevel="0" collapsed="false">
      <c r="A120" s="5" t="n">
        <v>119</v>
      </c>
      <c r="B120" s="5" t="n">
        <v>7</v>
      </c>
      <c r="C120" s="5" t="n">
        <v>4</v>
      </c>
      <c r="D120" s="6" t="s">
        <v>208</v>
      </c>
      <c r="E120" s="6" t="s">
        <v>210</v>
      </c>
      <c r="F120" s="5" t="n">
        <v>1046</v>
      </c>
      <c r="G120" s="5" t="s">
        <v>46</v>
      </c>
      <c r="H120" s="5" t="s">
        <v>47</v>
      </c>
      <c r="I120" s="7" t="s">
        <v>49</v>
      </c>
      <c r="J120" s="5" t="s">
        <v>45</v>
      </c>
      <c r="K120" s="8" t="n">
        <f aca="false">Progress!$B$3+(B120-1)*7+(C120-1)</f>
        <v>46371</v>
      </c>
      <c r="L120" s="9" t="s">
        <v>50</v>
      </c>
      <c r="M120" s="10"/>
      <c r="N120" s="9"/>
      <c r="O120" s="9"/>
      <c r="P120" s="10"/>
      <c r="Q120" s="11"/>
    </row>
    <row r="121" customFormat="false" ht="15" hidden="false" customHeight="false" outlineLevel="0" collapsed="false">
      <c r="A121" s="5" t="n">
        <v>120</v>
      </c>
      <c r="B121" s="5" t="n">
        <v>7</v>
      </c>
      <c r="C121" s="5" t="n">
        <v>4</v>
      </c>
      <c r="D121" s="6" t="s">
        <v>208</v>
      </c>
      <c r="E121" s="6" t="s">
        <v>211</v>
      </c>
      <c r="F121" s="5" t="n">
        <v>703</v>
      </c>
      <c r="G121" s="5" t="s">
        <v>46</v>
      </c>
      <c r="H121" s="5" t="s">
        <v>47</v>
      </c>
      <c r="I121" s="7" t="s">
        <v>49</v>
      </c>
      <c r="J121" s="5" t="s">
        <v>45</v>
      </c>
      <c r="K121" s="8" t="n">
        <f aca="false">Progress!$B$3+(B121-1)*7+(C121-1)</f>
        <v>46371</v>
      </c>
      <c r="L121" s="9" t="s">
        <v>50</v>
      </c>
      <c r="M121" s="10"/>
      <c r="N121" s="9"/>
      <c r="O121" s="9"/>
      <c r="P121" s="10"/>
      <c r="Q121" s="11"/>
    </row>
    <row r="122" customFormat="false" ht="15" hidden="false" customHeight="false" outlineLevel="0" collapsed="false">
      <c r="A122" s="5" t="n">
        <v>121</v>
      </c>
      <c r="B122" s="5" t="n">
        <v>7</v>
      </c>
      <c r="C122" s="5" t="n">
        <v>5</v>
      </c>
      <c r="D122" s="6" t="s">
        <v>212</v>
      </c>
      <c r="E122" s="6" t="s">
        <v>213</v>
      </c>
      <c r="F122" s="5" t="n">
        <v>973</v>
      </c>
      <c r="G122" s="5" t="s">
        <v>59</v>
      </c>
      <c r="H122" s="5" t="s">
        <v>47</v>
      </c>
      <c r="I122" s="7" t="s">
        <v>49</v>
      </c>
      <c r="J122" s="5" t="s">
        <v>45</v>
      </c>
      <c r="K122" s="8" t="n">
        <f aca="false">Progress!$B$3+(B122-1)*7+(C122-1)</f>
        <v>46372</v>
      </c>
      <c r="L122" s="9" t="s">
        <v>50</v>
      </c>
      <c r="M122" s="10"/>
      <c r="N122" s="9"/>
      <c r="O122" s="9"/>
      <c r="P122" s="10"/>
      <c r="Q122" s="11"/>
    </row>
    <row r="123" customFormat="false" ht="15" hidden="false" customHeight="false" outlineLevel="0" collapsed="false">
      <c r="A123" s="5" t="n">
        <v>122</v>
      </c>
      <c r="B123" s="5" t="n">
        <v>7</v>
      </c>
      <c r="C123" s="5" t="n">
        <v>5</v>
      </c>
      <c r="D123" s="6" t="s">
        <v>212</v>
      </c>
      <c r="E123" s="6" t="s">
        <v>214</v>
      </c>
      <c r="F123" s="5" t="n">
        <v>451</v>
      </c>
      <c r="G123" s="5" t="s">
        <v>59</v>
      </c>
      <c r="H123" s="5" t="s">
        <v>47</v>
      </c>
      <c r="I123" s="7" t="s">
        <v>49</v>
      </c>
      <c r="J123" s="7" t="s">
        <v>49</v>
      </c>
      <c r="K123" s="8" t="n">
        <f aca="false">Progress!$B$3+(B123-1)*7+(C123-1)</f>
        <v>46372</v>
      </c>
      <c r="L123" s="9" t="s">
        <v>50</v>
      </c>
      <c r="M123" s="10"/>
      <c r="N123" s="9"/>
      <c r="O123" s="9"/>
      <c r="P123" s="10"/>
      <c r="Q123" s="11"/>
    </row>
    <row r="124" customFormat="false" ht="15" hidden="false" customHeight="false" outlineLevel="0" collapsed="false">
      <c r="A124" s="5" t="n">
        <v>123</v>
      </c>
      <c r="B124" s="5" t="n">
        <v>7</v>
      </c>
      <c r="C124" s="5" t="n">
        <v>5</v>
      </c>
      <c r="D124" s="6" t="s">
        <v>212</v>
      </c>
      <c r="E124" s="6" t="s">
        <v>215</v>
      </c>
      <c r="F124" s="5" t="n">
        <v>378</v>
      </c>
      <c r="G124" s="5" t="s">
        <v>59</v>
      </c>
      <c r="H124" s="5" t="s">
        <v>47</v>
      </c>
      <c r="I124" s="7" t="s">
        <v>49</v>
      </c>
      <c r="J124" s="7" t="s">
        <v>49</v>
      </c>
      <c r="K124" s="8" t="n">
        <f aca="false">Progress!$B$3+(B124-1)*7+(C124-1)</f>
        <v>46372</v>
      </c>
      <c r="L124" s="9" t="s">
        <v>50</v>
      </c>
      <c r="M124" s="10"/>
      <c r="N124" s="9"/>
      <c r="O124" s="9"/>
      <c r="P124" s="10"/>
      <c r="Q124" s="11"/>
    </row>
    <row r="125" customFormat="false" ht="15" hidden="false" customHeight="false" outlineLevel="0" collapsed="false">
      <c r="A125" s="5" t="n">
        <v>124</v>
      </c>
      <c r="B125" s="5" t="n">
        <v>7</v>
      </c>
      <c r="C125" s="5" t="n">
        <v>6</v>
      </c>
      <c r="D125" s="6" t="s">
        <v>216</v>
      </c>
      <c r="E125" s="6" t="s">
        <v>217</v>
      </c>
      <c r="F125" s="5" t="n">
        <v>767</v>
      </c>
      <c r="G125" s="5" t="s">
        <v>59</v>
      </c>
      <c r="H125" s="5" t="s">
        <v>47</v>
      </c>
      <c r="I125" s="7" t="s">
        <v>49</v>
      </c>
      <c r="J125" s="7" t="s">
        <v>49</v>
      </c>
      <c r="K125" s="8" t="n">
        <f aca="false">Progress!$B$3+(B125-1)*7+(C125-1)</f>
        <v>46373</v>
      </c>
      <c r="L125" s="9" t="s">
        <v>50</v>
      </c>
      <c r="M125" s="10"/>
      <c r="N125" s="9"/>
      <c r="O125" s="9"/>
      <c r="P125" s="10"/>
      <c r="Q125" s="11"/>
    </row>
    <row r="126" customFormat="false" ht="15" hidden="false" customHeight="false" outlineLevel="0" collapsed="false">
      <c r="A126" s="5" t="n">
        <v>125</v>
      </c>
      <c r="B126" s="5" t="n">
        <v>7</v>
      </c>
      <c r="C126" s="5" t="n">
        <v>6</v>
      </c>
      <c r="D126" s="6" t="s">
        <v>216</v>
      </c>
      <c r="E126" s="6" t="s">
        <v>218</v>
      </c>
      <c r="F126" s="5" t="n">
        <v>621</v>
      </c>
      <c r="G126" s="5" t="s">
        <v>59</v>
      </c>
      <c r="H126" s="5" t="s">
        <v>47</v>
      </c>
      <c r="I126" s="7" t="s">
        <v>49</v>
      </c>
      <c r="J126" s="7" t="s">
        <v>49</v>
      </c>
      <c r="K126" s="8" t="n">
        <f aca="false">Progress!$B$3+(B126-1)*7+(C126-1)</f>
        <v>46373</v>
      </c>
      <c r="L126" s="9" t="s">
        <v>50</v>
      </c>
      <c r="M126" s="10"/>
      <c r="N126" s="9"/>
      <c r="O126" s="9"/>
      <c r="P126" s="10"/>
      <c r="Q126" s="11"/>
    </row>
    <row r="127" customFormat="false" ht="15" hidden="false" customHeight="false" outlineLevel="0" collapsed="false">
      <c r="A127" s="5" t="n">
        <v>126</v>
      </c>
      <c r="B127" s="5" t="n">
        <v>7</v>
      </c>
      <c r="C127" s="5" t="n">
        <v>6</v>
      </c>
      <c r="D127" s="6" t="s">
        <v>216</v>
      </c>
      <c r="E127" s="6" t="s">
        <v>219</v>
      </c>
      <c r="F127" s="5" t="n">
        <v>23</v>
      </c>
      <c r="G127" s="5" t="s">
        <v>119</v>
      </c>
      <c r="H127" s="5" t="s">
        <v>106</v>
      </c>
      <c r="I127" s="7" t="s">
        <v>49</v>
      </c>
      <c r="J127" s="5" t="s">
        <v>45</v>
      </c>
      <c r="K127" s="8" t="n">
        <f aca="false">Progress!$B$3+(B127-1)*7+(C127-1)</f>
        <v>46373</v>
      </c>
      <c r="L127" s="9" t="s">
        <v>50</v>
      </c>
      <c r="M127" s="10"/>
      <c r="N127" s="9"/>
      <c r="O127" s="9"/>
      <c r="P127" s="10"/>
      <c r="Q127" s="11"/>
    </row>
    <row r="128" customFormat="false" ht="15" hidden="false" customHeight="false" outlineLevel="0" collapsed="false">
      <c r="A128" s="5" t="n">
        <v>127</v>
      </c>
      <c r="B128" s="5" t="n">
        <v>8</v>
      </c>
      <c r="C128" s="5" t="n">
        <v>1</v>
      </c>
      <c r="D128" s="6" t="s">
        <v>220</v>
      </c>
      <c r="E128" s="6" t="s">
        <v>221</v>
      </c>
      <c r="F128" s="5" t="n">
        <v>733</v>
      </c>
      <c r="G128" s="5" t="s">
        <v>46</v>
      </c>
      <c r="H128" s="5" t="s">
        <v>47</v>
      </c>
      <c r="I128" s="7" t="s">
        <v>49</v>
      </c>
      <c r="J128" s="5" t="s">
        <v>45</v>
      </c>
      <c r="K128" s="8" t="n">
        <f aca="false">Progress!$B$3+(B128-1)*7+(C128-1)</f>
        <v>46375</v>
      </c>
      <c r="L128" s="9" t="s">
        <v>50</v>
      </c>
      <c r="M128" s="10"/>
      <c r="N128" s="9"/>
      <c r="O128" s="9"/>
      <c r="P128" s="10"/>
      <c r="Q128" s="11"/>
    </row>
    <row r="129" customFormat="false" ht="15" hidden="false" customHeight="false" outlineLevel="0" collapsed="false">
      <c r="A129" s="5" t="n">
        <v>128</v>
      </c>
      <c r="B129" s="5" t="n">
        <v>8</v>
      </c>
      <c r="C129" s="5" t="n">
        <v>1</v>
      </c>
      <c r="D129" s="6" t="s">
        <v>220</v>
      </c>
      <c r="E129" s="6" t="s">
        <v>222</v>
      </c>
      <c r="F129" s="5" t="n">
        <v>200</v>
      </c>
      <c r="G129" s="5" t="s">
        <v>59</v>
      </c>
      <c r="H129" s="5" t="s">
        <v>47</v>
      </c>
      <c r="I129" s="7" t="s">
        <v>49</v>
      </c>
      <c r="J129" s="5" t="s">
        <v>45</v>
      </c>
      <c r="K129" s="8" t="n">
        <f aca="false">Progress!$B$3+(B129-1)*7+(C129-1)</f>
        <v>46375</v>
      </c>
      <c r="L129" s="9" t="s">
        <v>50</v>
      </c>
      <c r="M129" s="10"/>
      <c r="N129" s="9"/>
      <c r="O129" s="9"/>
      <c r="P129" s="10"/>
      <c r="Q129" s="11"/>
    </row>
    <row r="130" customFormat="false" ht="15" hidden="false" customHeight="false" outlineLevel="0" collapsed="false">
      <c r="A130" s="5" t="n">
        <v>129</v>
      </c>
      <c r="B130" s="5" t="n">
        <v>8</v>
      </c>
      <c r="C130" s="5" t="n">
        <v>1</v>
      </c>
      <c r="D130" s="6" t="s">
        <v>220</v>
      </c>
      <c r="E130" s="6" t="s">
        <v>223</v>
      </c>
      <c r="F130" s="5" t="n">
        <v>695</v>
      </c>
      <c r="G130" s="5" t="s">
        <v>59</v>
      </c>
      <c r="H130" s="5" t="s">
        <v>47</v>
      </c>
      <c r="I130" s="7" t="s">
        <v>49</v>
      </c>
      <c r="J130" s="5" t="s">
        <v>45</v>
      </c>
      <c r="K130" s="8" t="n">
        <f aca="false">Progress!$B$3+(B130-1)*7+(C130-1)</f>
        <v>46375</v>
      </c>
      <c r="L130" s="9" t="s">
        <v>50</v>
      </c>
      <c r="M130" s="10"/>
      <c r="N130" s="9"/>
      <c r="O130" s="9"/>
      <c r="P130" s="10"/>
      <c r="Q130" s="11"/>
    </row>
    <row r="131" customFormat="false" ht="15" hidden="false" customHeight="false" outlineLevel="0" collapsed="false">
      <c r="A131" s="5" t="n">
        <v>130</v>
      </c>
      <c r="B131" s="5" t="n">
        <v>8</v>
      </c>
      <c r="C131" s="5" t="n">
        <v>2</v>
      </c>
      <c r="D131" s="6" t="s">
        <v>224</v>
      </c>
      <c r="E131" s="6" t="s">
        <v>225</v>
      </c>
      <c r="F131" s="5" t="n">
        <v>994</v>
      </c>
      <c r="G131" s="5" t="s">
        <v>59</v>
      </c>
      <c r="H131" s="5" t="s">
        <v>47</v>
      </c>
      <c r="I131" s="7" t="s">
        <v>49</v>
      </c>
      <c r="J131" s="5" t="s">
        <v>45</v>
      </c>
      <c r="K131" s="8" t="n">
        <f aca="false">Progress!$B$3+(B131-1)*7+(C131-1)</f>
        <v>46376</v>
      </c>
      <c r="L131" s="9" t="s">
        <v>50</v>
      </c>
      <c r="M131" s="10"/>
      <c r="N131" s="9"/>
      <c r="O131" s="9"/>
      <c r="P131" s="10"/>
      <c r="Q131" s="11"/>
    </row>
    <row r="132" customFormat="false" ht="15" hidden="false" customHeight="false" outlineLevel="0" collapsed="false">
      <c r="A132" s="5" t="n">
        <v>131</v>
      </c>
      <c r="B132" s="5" t="n">
        <v>8</v>
      </c>
      <c r="C132" s="5" t="n">
        <v>2</v>
      </c>
      <c r="D132" s="6" t="s">
        <v>224</v>
      </c>
      <c r="E132" s="6" t="s">
        <v>226</v>
      </c>
      <c r="F132" s="5" t="n">
        <v>130</v>
      </c>
      <c r="G132" s="5" t="s">
        <v>59</v>
      </c>
      <c r="H132" s="5" t="s">
        <v>47</v>
      </c>
      <c r="I132" s="7" t="s">
        <v>49</v>
      </c>
      <c r="J132" s="5" t="s">
        <v>45</v>
      </c>
      <c r="K132" s="8" t="n">
        <f aca="false">Progress!$B$3+(B132-1)*7+(C132-1)</f>
        <v>46376</v>
      </c>
      <c r="L132" s="9" t="s">
        <v>50</v>
      </c>
      <c r="M132" s="10"/>
      <c r="N132" s="9"/>
      <c r="O132" s="9"/>
      <c r="P132" s="10"/>
      <c r="Q132" s="11"/>
    </row>
    <row r="133" customFormat="false" ht="15" hidden="false" customHeight="false" outlineLevel="0" collapsed="false">
      <c r="A133" s="5" t="n">
        <v>132</v>
      </c>
      <c r="B133" s="5" t="n">
        <v>8</v>
      </c>
      <c r="C133" s="5" t="n">
        <v>2</v>
      </c>
      <c r="D133" s="6" t="s">
        <v>224</v>
      </c>
      <c r="E133" s="6" t="s">
        <v>227</v>
      </c>
      <c r="F133" s="5" t="n">
        <v>463</v>
      </c>
      <c r="G133" s="5" t="s">
        <v>46</v>
      </c>
      <c r="H133" s="5" t="s">
        <v>47</v>
      </c>
      <c r="I133" s="7" t="s">
        <v>49</v>
      </c>
      <c r="J133" s="5" t="s">
        <v>45</v>
      </c>
      <c r="K133" s="8" t="n">
        <f aca="false">Progress!$B$3+(B133-1)*7+(C133-1)</f>
        <v>46376</v>
      </c>
      <c r="L133" s="9" t="s">
        <v>50</v>
      </c>
      <c r="M133" s="10"/>
      <c r="N133" s="9"/>
      <c r="O133" s="9"/>
      <c r="P133" s="10"/>
      <c r="Q133" s="11"/>
    </row>
    <row r="134" customFormat="false" ht="15" hidden="false" customHeight="false" outlineLevel="0" collapsed="false">
      <c r="A134" s="5" t="n">
        <v>133</v>
      </c>
      <c r="B134" s="5" t="n">
        <v>8</v>
      </c>
      <c r="C134" s="5" t="n">
        <v>3</v>
      </c>
      <c r="D134" s="6" t="s">
        <v>228</v>
      </c>
      <c r="E134" s="6" t="s">
        <v>229</v>
      </c>
      <c r="F134" s="5" t="n">
        <v>1971</v>
      </c>
      <c r="G134" s="5" t="s">
        <v>46</v>
      </c>
      <c r="H134" s="5" t="s">
        <v>47</v>
      </c>
      <c r="I134" s="7" t="s">
        <v>49</v>
      </c>
      <c r="J134" s="5" t="s">
        <v>45</v>
      </c>
      <c r="K134" s="8" t="n">
        <f aca="false">Progress!$B$3+(B134-1)*7+(C134-1)</f>
        <v>46377</v>
      </c>
      <c r="L134" s="9" t="s">
        <v>50</v>
      </c>
      <c r="M134" s="10"/>
      <c r="N134" s="9"/>
      <c r="O134" s="9"/>
      <c r="P134" s="10"/>
      <c r="Q134" s="11"/>
    </row>
    <row r="135" customFormat="false" ht="15" hidden="false" customHeight="false" outlineLevel="0" collapsed="false">
      <c r="A135" s="5" t="n">
        <v>134</v>
      </c>
      <c r="B135" s="5" t="n">
        <v>8</v>
      </c>
      <c r="C135" s="5" t="n">
        <v>3</v>
      </c>
      <c r="D135" s="6" t="s">
        <v>228</v>
      </c>
      <c r="E135" s="6" t="s">
        <v>230</v>
      </c>
      <c r="F135" s="5" t="n">
        <v>547</v>
      </c>
      <c r="G135" s="5" t="s">
        <v>59</v>
      </c>
      <c r="H135" s="5" t="s">
        <v>47</v>
      </c>
      <c r="I135" s="7" t="s">
        <v>49</v>
      </c>
      <c r="J135" s="5" t="s">
        <v>45</v>
      </c>
      <c r="K135" s="8" t="n">
        <f aca="false">Progress!$B$3+(B135-1)*7+(C135-1)</f>
        <v>46377</v>
      </c>
      <c r="L135" s="9" t="s">
        <v>50</v>
      </c>
      <c r="M135" s="10"/>
      <c r="N135" s="9"/>
      <c r="O135" s="9"/>
      <c r="P135" s="10"/>
      <c r="Q135" s="11"/>
    </row>
    <row r="136" customFormat="false" ht="15" hidden="false" customHeight="false" outlineLevel="0" collapsed="false">
      <c r="A136" s="5" t="n">
        <v>135</v>
      </c>
      <c r="B136" s="5" t="n">
        <v>8</v>
      </c>
      <c r="C136" s="5" t="n">
        <v>3</v>
      </c>
      <c r="D136" s="6" t="s">
        <v>228</v>
      </c>
      <c r="E136" s="6" t="s">
        <v>231</v>
      </c>
      <c r="F136" s="5" t="n">
        <v>133</v>
      </c>
      <c r="G136" s="5" t="s">
        <v>59</v>
      </c>
      <c r="H136" s="5" t="s">
        <v>47</v>
      </c>
      <c r="I136" s="7" t="s">
        <v>49</v>
      </c>
      <c r="J136" s="5" t="s">
        <v>45</v>
      </c>
      <c r="K136" s="8" t="n">
        <f aca="false">Progress!$B$3+(B136-1)*7+(C136-1)</f>
        <v>46377</v>
      </c>
      <c r="L136" s="9" t="s">
        <v>50</v>
      </c>
      <c r="M136" s="10"/>
      <c r="N136" s="9"/>
      <c r="O136" s="9"/>
      <c r="P136" s="10"/>
      <c r="Q136" s="11"/>
    </row>
    <row r="137" customFormat="false" ht="15" hidden="false" customHeight="false" outlineLevel="0" collapsed="false">
      <c r="A137" s="5" t="n">
        <v>136</v>
      </c>
      <c r="B137" s="5" t="n">
        <v>8</v>
      </c>
      <c r="C137" s="5" t="n">
        <v>4</v>
      </c>
      <c r="D137" s="6" t="s">
        <v>232</v>
      </c>
      <c r="E137" s="6" t="s">
        <v>233</v>
      </c>
      <c r="F137" s="5" t="n">
        <v>207</v>
      </c>
      <c r="G137" s="5" t="s">
        <v>59</v>
      </c>
      <c r="H137" s="5" t="s">
        <v>47</v>
      </c>
      <c r="I137" s="7" t="s">
        <v>49</v>
      </c>
      <c r="J137" s="5" t="s">
        <v>45</v>
      </c>
      <c r="K137" s="8" t="n">
        <f aca="false">Progress!$B$3+(B137-1)*7+(C137-1)</f>
        <v>46378</v>
      </c>
      <c r="L137" s="9" t="s">
        <v>50</v>
      </c>
      <c r="M137" s="10"/>
      <c r="N137" s="9"/>
      <c r="O137" s="9"/>
      <c r="P137" s="10"/>
      <c r="Q137" s="11"/>
    </row>
    <row r="138" customFormat="false" ht="15" hidden="false" customHeight="false" outlineLevel="0" collapsed="false">
      <c r="A138" s="5" t="n">
        <v>137</v>
      </c>
      <c r="B138" s="5" t="n">
        <v>8</v>
      </c>
      <c r="C138" s="5" t="n">
        <v>4</v>
      </c>
      <c r="D138" s="6" t="s">
        <v>232</v>
      </c>
      <c r="E138" s="6" t="s">
        <v>234</v>
      </c>
      <c r="F138" s="5" t="n">
        <v>210</v>
      </c>
      <c r="G138" s="5" t="s">
        <v>59</v>
      </c>
      <c r="H138" s="5" t="s">
        <v>47</v>
      </c>
      <c r="I138" s="7" t="s">
        <v>49</v>
      </c>
      <c r="J138" s="7" t="s">
        <v>49</v>
      </c>
      <c r="K138" s="8" t="n">
        <f aca="false">Progress!$B$3+(B138-1)*7+(C138-1)</f>
        <v>46378</v>
      </c>
      <c r="L138" s="9" t="s">
        <v>50</v>
      </c>
      <c r="M138" s="10"/>
      <c r="N138" s="9"/>
      <c r="O138" s="9"/>
      <c r="P138" s="10"/>
      <c r="Q138" s="11"/>
    </row>
    <row r="139" customFormat="false" ht="15" hidden="false" customHeight="false" outlineLevel="0" collapsed="false">
      <c r="A139" s="5" t="n">
        <v>138</v>
      </c>
      <c r="B139" s="5" t="n">
        <v>8</v>
      </c>
      <c r="C139" s="5" t="n">
        <v>4</v>
      </c>
      <c r="D139" s="6" t="s">
        <v>232</v>
      </c>
      <c r="E139" s="6" t="s">
        <v>235</v>
      </c>
      <c r="F139" s="5" t="n">
        <v>785</v>
      </c>
      <c r="G139" s="5" t="s">
        <v>59</v>
      </c>
      <c r="H139" s="5" t="s">
        <v>47</v>
      </c>
      <c r="I139" s="7" t="s">
        <v>49</v>
      </c>
      <c r="J139" s="5" t="s">
        <v>45</v>
      </c>
      <c r="K139" s="8" t="n">
        <f aca="false">Progress!$B$3+(B139-1)*7+(C139-1)</f>
        <v>46378</v>
      </c>
      <c r="L139" s="9" t="s">
        <v>50</v>
      </c>
      <c r="M139" s="10"/>
      <c r="N139" s="9"/>
      <c r="O139" s="9"/>
      <c r="P139" s="10"/>
      <c r="Q139" s="11"/>
    </row>
    <row r="140" customFormat="false" ht="15" hidden="false" customHeight="false" outlineLevel="0" collapsed="false">
      <c r="A140" s="5" t="n">
        <v>139</v>
      </c>
      <c r="B140" s="5" t="n">
        <v>8</v>
      </c>
      <c r="C140" s="5" t="n">
        <v>5</v>
      </c>
      <c r="D140" s="6" t="s">
        <v>236</v>
      </c>
      <c r="E140" s="6" t="s">
        <v>237</v>
      </c>
      <c r="F140" s="5" t="n">
        <v>1091</v>
      </c>
      <c r="G140" s="5" t="s">
        <v>59</v>
      </c>
      <c r="H140" s="5" t="s">
        <v>47</v>
      </c>
      <c r="I140" s="7" t="s">
        <v>49</v>
      </c>
      <c r="J140" s="5" t="s">
        <v>45</v>
      </c>
      <c r="K140" s="8" t="n">
        <f aca="false">Progress!$B$3+(B140-1)*7+(C140-1)</f>
        <v>46379</v>
      </c>
      <c r="L140" s="9" t="s">
        <v>50</v>
      </c>
      <c r="M140" s="10"/>
      <c r="N140" s="9"/>
      <c r="O140" s="9"/>
      <c r="P140" s="10"/>
      <c r="Q140" s="11"/>
    </row>
    <row r="141" customFormat="false" ht="15" hidden="false" customHeight="false" outlineLevel="0" collapsed="false">
      <c r="A141" s="5" t="n">
        <v>140</v>
      </c>
      <c r="B141" s="5" t="n">
        <v>8</v>
      </c>
      <c r="C141" s="5" t="n">
        <v>5</v>
      </c>
      <c r="D141" s="6" t="s">
        <v>236</v>
      </c>
      <c r="E141" s="6" t="s">
        <v>238</v>
      </c>
      <c r="F141" s="5" t="n">
        <v>743</v>
      </c>
      <c r="G141" s="5" t="s">
        <v>59</v>
      </c>
      <c r="H141" s="5" t="s">
        <v>47</v>
      </c>
      <c r="I141" s="7" t="s">
        <v>49</v>
      </c>
      <c r="J141" s="5" t="s">
        <v>45</v>
      </c>
      <c r="K141" s="8" t="n">
        <f aca="false">Progress!$B$3+(B141-1)*7+(C141-1)</f>
        <v>46379</v>
      </c>
      <c r="L141" s="9" t="s">
        <v>50</v>
      </c>
      <c r="M141" s="10"/>
      <c r="N141" s="9"/>
      <c r="O141" s="9"/>
      <c r="P141" s="10"/>
      <c r="Q141" s="11"/>
    </row>
    <row r="142" customFormat="false" ht="15" hidden="false" customHeight="false" outlineLevel="0" collapsed="false">
      <c r="A142" s="5" t="n">
        <v>141</v>
      </c>
      <c r="B142" s="5" t="n">
        <v>8</v>
      </c>
      <c r="C142" s="5" t="n">
        <v>5</v>
      </c>
      <c r="D142" s="6" t="s">
        <v>236</v>
      </c>
      <c r="E142" s="6" t="s">
        <v>239</v>
      </c>
      <c r="F142" s="5" t="n">
        <v>127</v>
      </c>
      <c r="G142" s="5" t="s">
        <v>119</v>
      </c>
      <c r="H142" s="5" t="s">
        <v>106</v>
      </c>
      <c r="I142" s="7" t="s">
        <v>49</v>
      </c>
      <c r="J142" s="5" t="s">
        <v>45</v>
      </c>
      <c r="K142" s="8" t="n">
        <f aca="false">Progress!$B$3+(B142-1)*7+(C142-1)</f>
        <v>46379</v>
      </c>
      <c r="L142" s="9" t="s">
        <v>50</v>
      </c>
      <c r="M142" s="10"/>
      <c r="N142" s="9"/>
      <c r="O142" s="9"/>
      <c r="P142" s="10"/>
      <c r="Q142" s="11"/>
    </row>
    <row r="143" customFormat="false" ht="23.85" hidden="false" customHeight="false" outlineLevel="0" collapsed="false">
      <c r="A143" s="5" t="n">
        <v>142</v>
      </c>
      <c r="B143" s="5" t="n">
        <v>8</v>
      </c>
      <c r="C143" s="5" t="n">
        <v>6</v>
      </c>
      <c r="D143" s="6" t="s">
        <v>240</v>
      </c>
      <c r="E143" s="6" t="s">
        <v>241</v>
      </c>
      <c r="F143" s="5" t="n">
        <v>684</v>
      </c>
      <c r="G143" s="5" t="s">
        <v>59</v>
      </c>
      <c r="H143" s="5" t="s">
        <v>47</v>
      </c>
      <c r="I143" s="7" t="s">
        <v>49</v>
      </c>
      <c r="J143" s="5" t="s">
        <v>45</v>
      </c>
      <c r="K143" s="8" t="n">
        <f aca="false">Progress!$B$3+(B143-1)*7+(C143-1)</f>
        <v>46380</v>
      </c>
      <c r="L143" s="9" t="s">
        <v>50</v>
      </c>
      <c r="M143" s="10"/>
      <c r="N143" s="9"/>
      <c r="O143" s="9"/>
      <c r="P143" s="10"/>
      <c r="Q143" s="11"/>
    </row>
    <row r="144" customFormat="false" ht="23.85" hidden="false" customHeight="false" outlineLevel="0" collapsed="false">
      <c r="A144" s="5" t="n">
        <v>143</v>
      </c>
      <c r="B144" s="5" t="n">
        <v>8</v>
      </c>
      <c r="C144" s="5" t="n">
        <v>6</v>
      </c>
      <c r="D144" s="6" t="s">
        <v>240</v>
      </c>
      <c r="E144" s="6" t="s">
        <v>242</v>
      </c>
      <c r="F144" s="5" t="n">
        <v>721</v>
      </c>
      <c r="G144" s="5" t="s">
        <v>59</v>
      </c>
      <c r="H144" s="5" t="s">
        <v>47</v>
      </c>
      <c r="I144" s="7" t="s">
        <v>49</v>
      </c>
      <c r="J144" s="5" t="s">
        <v>45</v>
      </c>
      <c r="K144" s="8" t="n">
        <f aca="false">Progress!$B$3+(B144-1)*7+(C144-1)</f>
        <v>46380</v>
      </c>
      <c r="L144" s="9" t="s">
        <v>50</v>
      </c>
      <c r="M144" s="10"/>
      <c r="N144" s="9"/>
      <c r="O144" s="9"/>
      <c r="P144" s="10"/>
      <c r="Q144" s="11"/>
    </row>
    <row r="145" customFormat="false" ht="23.85" hidden="false" customHeight="false" outlineLevel="0" collapsed="false">
      <c r="A145" s="5" t="n">
        <v>144</v>
      </c>
      <c r="B145" s="5" t="n">
        <v>8</v>
      </c>
      <c r="C145" s="5" t="n">
        <v>6</v>
      </c>
      <c r="D145" s="6" t="s">
        <v>240</v>
      </c>
      <c r="E145" s="6" t="s">
        <v>243</v>
      </c>
      <c r="F145" s="5" t="n">
        <v>417</v>
      </c>
      <c r="G145" s="5" t="s">
        <v>59</v>
      </c>
      <c r="H145" s="5" t="s">
        <v>47</v>
      </c>
      <c r="I145" s="7" t="s">
        <v>49</v>
      </c>
      <c r="J145" s="5" t="s">
        <v>45</v>
      </c>
      <c r="K145" s="8" t="n">
        <f aca="false">Progress!$B$3+(B145-1)*7+(C145-1)</f>
        <v>46380</v>
      </c>
      <c r="L145" s="9" t="s">
        <v>50</v>
      </c>
      <c r="M145" s="10"/>
      <c r="N145" s="9"/>
      <c r="O145" s="9"/>
      <c r="P145" s="10"/>
      <c r="Q145" s="11"/>
    </row>
    <row r="146" customFormat="false" ht="15" hidden="false" customHeight="false" outlineLevel="0" collapsed="false">
      <c r="A146" s="5" t="n">
        <v>145</v>
      </c>
      <c r="B146" s="5" t="n">
        <v>9</v>
      </c>
      <c r="C146" s="5" t="n">
        <v>1</v>
      </c>
      <c r="D146" s="6" t="s">
        <v>244</v>
      </c>
      <c r="E146" s="6" t="s">
        <v>245</v>
      </c>
      <c r="F146" s="5" t="n">
        <v>455</v>
      </c>
      <c r="G146" s="5" t="s">
        <v>46</v>
      </c>
      <c r="H146" s="5" t="s">
        <v>47</v>
      </c>
      <c r="I146" s="7" t="s">
        <v>49</v>
      </c>
      <c r="J146" s="5" t="s">
        <v>45</v>
      </c>
      <c r="K146" s="8" t="n">
        <f aca="false">Progress!$B$3+(B146-1)*7+(C146-1)</f>
        <v>46382</v>
      </c>
      <c r="L146" s="9" t="s">
        <v>50</v>
      </c>
      <c r="M146" s="10"/>
      <c r="N146" s="9"/>
      <c r="O146" s="9"/>
      <c r="P146" s="10"/>
      <c r="Q146" s="11"/>
    </row>
    <row r="147" customFormat="false" ht="15" hidden="false" customHeight="false" outlineLevel="0" collapsed="false">
      <c r="A147" s="5" t="n">
        <v>146</v>
      </c>
      <c r="B147" s="5" t="n">
        <v>9</v>
      </c>
      <c r="C147" s="5" t="n">
        <v>1</v>
      </c>
      <c r="D147" s="6" t="s">
        <v>244</v>
      </c>
      <c r="E147" s="6" t="s">
        <v>246</v>
      </c>
      <c r="F147" s="5" t="n">
        <v>55</v>
      </c>
      <c r="G147" s="5" t="s">
        <v>59</v>
      </c>
      <c r="H147" s="5" t="s">
        <v>47</v>
      </c>
      <c r="I147" s="7" t="s">
        <v>49</v>
      </c>
      <c r="J147" s="5" t="s">
        <v>45</v>
      </c>
      <c r="K147" s="8" t="n">
        <f aca="false">Progress!$B$3+(B147-1)*7+(C147-1)</f>
        <v>46382</v>
      </c>
      <c r="L147" s="9" t="s">
        <v>50</v>
      </c>
      <c r="M147" s="10"/>
      <c r="N147" s="9"/>
      <c r="O147" s="9"/>
      <c r="P147" s="10"/>
      <c r="Q147" s="11"/>
    </row>
    <row r="148" customFormat="false" ht="15" hidden="false" customHeight="false" outlineLevel="0" collapsed="false">
      <c r="A148" s="5" t="n">
        <v>147</v>
      </c>
      <c r="B148" s="5" t="n">
        <v>9</v>
      </c>
      <c r="C148" s="5" t="n">
        <v>1</v>
      </c>
      <c r="D148" s="6" t="s">
        <v>244</v>
      </c>
      <c r="E148" s="6" t="s">
        <v>247</v>
      </c>
      <c r="F148" s="5" t="n">
        <v>122</v>
      </c>
      <c r="G148" s="5" t="s">
        <v>59</v>
      </c>
      <c r="H148" s="5" t="s">
        <v>47</v>
      </c>
      <c r="I148" s="7" t="s">
        <v>49</v>
      </c>
      <c r="J148" s="7" t="s">
        <v>49</v>
      </c>
      <c r="K148" s="8" t="n">
        <f aca="false">Progress!$B$3+(B148-1)*7+(C148-1)</f>
        <v>46382</v>
      </c>
      <c r="L148" s="9" t="s">
        <v>50</v>
      </c>
      <c r="M148" s="10"/>
      <c r="N148" s="9"/>
      <c r="O148" s="9"/>
      <c r="P148" s="10"/>
      <c r="Q148" s="11"/>
    </row>
    <row r="149" customFormat="false" ht="15" hidden="false" customHeight="false" outlineLevel="0" collapsed="false">
      <c r="A149" s="5" t="n">
        <v>148</v>
      </c>
      <c r="B149" s="5" t="n">
        <v>9</v>
      </c>
      <c r="C149" s="5" t="n">
        <v>2</v>
      </c>
      <c r="D149" s="6" t="s">
        <v>248</v>
      </c>
      <c r="E149" s="6" t="s">
        <v>249</v>
      </c>
      <c r="F149" s="5" t="n">
        <v>134</v>
      </c>
      <c r="G149" s="5" t="s">
        <v>59</v>
      </c>
      <c r="H149" s="5" t="s">
        <v>47</v>
      </c>
      <c r="I149" s="7" t="s">
        <v>49</v>
      </c>
      <c r="J149" s="5" t="s">
        <v>45</v>
      </c>
      <c r="K149" s="8" t="n">
        <f aca="false">Progress!$B$3+(B149-1)*7+(C149-1)</f>
        <v>46383</v>
      </c>
      <c r="L149" s="9" t="s">
        <v>50</v>
      </c>
      <c r="M149" s="10"/>
      <c r="N149" s="9"/>
      <c r="O149" s="9"/>
      <c r="P149" s="10"/>
      <c r="Q149" s="11"/>
    </row>
    <row r="150" customFormat="false" ht="15" hidden="false" customHeight="false" outlineLevel="0" collapsed="false">
      <c r="A150" s="5" t="n">
        <v>149</v>
      </c>
      <c r="B150" s="5" t="n">
        <v>9</v>
      </c>
      <c r="C150" s="5" t="n">
        <v>2</v>
      </c>
      <c r="D150" s="6" t="s">
        <v>248</v>
      </c>
      <c r="E150" s="6" t="s">
        <v>250</v>
      </c>
      <c r="F150" s="5" t="n">
        <v>860</v>
      </c>
      <c r="G150" s="5" t="s">
        <v>46</v>
      </c>
      <c r="H150" s="5" t="s">
        <v>47</v>
      </c>
      <c r="I150" s="7" t="s">
        <v>49</v>
      </c>
      <c r="J150" s="5" t="s">
        <v>45</v>
      </c>
      <c r="K150" s="8" t="n">
        <f aca="false">Progress!$B$3+(B150-1)*7+(C150-1)</f>
        <v>46383</v>
      </c>
      <c r="L150" s="9" t="s">
        <v>50</v>
      </c>
      <c r="M150" s="10"/>
      <c r="N150" s="9"/>
      <c r="O150" s="9"/>
      <c r="P150" s="10"/>
      <c r="Q150" s="11"/>
    </row>
    <row r="151" customFormat="false" ht="15" hidden="false" customHeight="false" outlineLevel="0" collapsed="false">
      <c r="A151" s="5" t="n">
        <v>150</v>
      </c>
      <c r="B151" s="5" t="n">
        <v>9</v>
      </c>
      <c r="C151" s="5" t="n">
        <v>2</v>
      </c>
      <c r="D151" s="6" t="s">
        <v>248</v>
      </c>
      <c r="E151" s="6" t="s">
        <v>251</v>
      </c>
      <c r="F151" s="5" t="n">
        <v>435</v>
      </c>
      <c r="G151" s="5" t="s">
        <v>59</v>
      </c>
      <c r="H151" s="5" t="s">
        <v>47</v>
      </c>
      <c r="I151" s="7" t="s">
        <v>49</v>
      </c>
      <c r="J151" s="7" t="s">
        <v>49</v>
      </c>
      <c r="K151" s="8" t="n">
        <f aca="false">Progress!$B$3+(B151-1)*7+(C151-1)</f>
        <v>46383</v>
      </c>
      <c r="L151" s="9" t="s">
        <v>50</v>
      </c>
      <c r="M151" s="10"/>
      <c r="N151" s="9"/>
      <c r="O151" s="9"/>
      <c r="P151" s="10"/>
      <c r="Q151" s="11"/>
    </row>
    <row r="152" customFormat="false" ht="15" hidden="false" customHeight="false" outlineLevel="0" collapsed="false">
      <c r="A152" s="5" t="n">
        <v>151</v>
      </c>
      <c r="B152" s="5" t="n">
        <v>9</v>
      </c>
      <c r="C152" s="5" t="n">
        <v>3</v>
      </c>
      <c r="D152" s="6" t="s">
        <v>252</v>
      </c>
      <c r="E152" s="6" t="s">
        <v>253</v>
      </c>
      <c r="F152" s="5" t="n">
        <v>56</v>
      </c>
      <c r="G152" s="5" t="s">
        <v>59</v>
      </c>
      <c r="H152" s="5" t="s">
        <v>47</v>
      </c>
      <c r="I152" s="7" t="s">
        <v>49</v>
      </c>
      <c r="J152" s="7" t="s">
        <v>49</v>
      </c>
      <c r="K152" s="8" t="n">
        <f aca="false">Progress!$B$3+(B152-1)*7+(C152-1)</f>
        <v>46384</v>
      </c>
      <c r="L152" s="9" t="s">
        <v>50</v>
      </c>
      <c r="M152" s="10"/>
      <c r="N152" s="9"/>
      <c r="O152" s="9"/>
      <c r="P152" s="10"/>
      <c r="Q152" s="11"/>
    </row>
    <row r="153" customFormat="false" ht="15" hidden="false" customHeight="false" outlineLevel="0" collapsed="false">
      <c r="A153" s="5" t="n">
        <v>152</v>
      </c>
      <c r="B153" s="5" t="n">
        <v>9</v>
      </c>
      <c r="C153" s="5" t="n">
        <v>3</v>
      </c>
      <c r="D153" s="6" t="s">
        <v>252</v>
      </c>
      <c r="E153" s="6" t="s">
        <v>254</v>
      </c>
      <c r="F153" s="5" t="n">
        <v>57</v>
      </c>
      <c r="G153" s="5" t="s">
        <v>59</v>
      </c>
      <c r="H153" s="5" t="s">
        <v>47</v>
      </c>
      <c r="I153" s="7" t="s">
        <v>49</v>
      </c>
      <c r="J153" s="7" t="s">
        <v>49</v>
      </c>
      <c r="K153" s="8" t="n">
        <f aca="false">Progress!$B$3+(B153-1)*7+(C153-1)</f>
        <v>46384</v>
      </c>
      <c r="L153" s="9" t="s">
        <v>50</v>
      </c>
      <c r="M153" s="10"/>
      <c r="N153" s="9"/>
      <c r="O153" s="9"/>
      <c r="P153" s="10"/>
      <c r="Q153" s="11"/>
    </row>
    <row r="154" customFormat="false" ht="15" hidden="false" customHeight="false" outlineLevel="0" collapsed="false">
      <c r="A154" s="5" t="n">
        <v>153</v>
      </c>
      <c r="B154" s="5" t="n">
        <v>9</v>
      </c>
      <c r="C154" s="5" t="n">
        <v>3</v>
      </c>
      <c r="D154" s="6" t="s">
        <v>252</v>
      </c>
      <c r="E154" s="6" t="s">
        <v>255</v>
      </c>
      <c r="F154" s="5" t="n">
        <v>452</v>
      </c>
      <c r="G154" s="5" t="s">
        <v>59</v>
      </c>
      <c r="H154" s="5" t="s">
        <v>47</v>
      </c>
      <c r="I154" s="7" t="s">
        <v>49</v>
      </c>
      <c r="J154" s="5" t="s">
        <v>45</v>
      </c>
      <c r="K154" s="8" t="n">
        <f aca="false">Progress!$B$3+(B154-1)*7+(C154-1)</f>
        <v>46384</v>
      </c>
      <c r="L154" s="9" t="s">
        <v>50</v>
      </c>
      <c r="M154" s="10"/>
      <c r="N154" s="9"/>
      <c r="O154" s="9"/>
      <c r="P154" s="10"/>
      <c r="Q154" s="11"/>
    </row>
    <row r="155" customFormat="false" ht="15" hidden="false" customHeight="false" outlineLevel="0" collapsed="false">
      <c r="A155" s="5" t="n">
        <v>154</v>
      </c>
      <c r="B155" s="5" t="n">
        <v>9</v>
      </c>
      <c r="C155" s="5" t="n">
        <v>4</v>
      </c>
      <c r="D155" s="6" t="s">
        <v>256</v>
      </c>
      <c r="E155" s="6" t="s">
        <v>257</v>
      </c>
      <c r="F155" s="5" t="n">
        <v>746</v>
      </c>
      <c r="G155" s="5" t="s">
        <v>46</v>
      </c>
      <c r="H155" s="5" t="s">
        <v>47</v>
      </c>
      <c r="I155" s="7" t="s">
        <v>49</v>
      </c>
      <c r="J155" s="5" t="s">
        <v>45</v>
      </c>
      <c r="K155" s="8" t="n">
        <f aca="false">Progress!$B$3+(B155-1)*7+(C155-1)</f>
        <v>46385</v>
      </c>
      <c r="L155" s="9" t="s">
        <v>50</v>
      </c>
      <c r="M155" s="10"/>
      <c r="N155" s="9"/>
      <c r="O155" s="9"/>
      <c r="P155" s="10"/>
      <c r="Q155" s="11"/>
    </row>
    <row r="156" customFormat="false" ht="15" hidden="false" customHeight="false" outlineLevel="0" collapsed="false">
      <c r="A156" s="5" t="n">
        <v>155</v>
      </c>
      <c r="B156" s="5" t="n">
        <v>9</v>
      </c>
      <c r="C156" s="5" t="n">
        <v>4</v>
      </c>
      <c r="D156" s="6" t="s">
        <v>256</v>
      </c>
      <c r="E156" s="6" t="s">
        <v>258</v>
      </c>
      <c r="F156" s="5" t="n">
        <v>198</v>
      </c>
      <c r="G156" s="5" t="s">
        <v>59</v>
      </c>
      <c r="H156" s="5" t="s">
        <v>47</v>
      </c>
      <c r="I156" s="7" t="s">
        <v>49</v>
      </c>
      <c r="J156" s="7" t="s">
        <v>49</v>
      </c>
      <c r="K156" s="8" t="n">
        <f aca="false">Progress!$B$3+(B156-1)*7+(C156-1)</f>
        <v>46385</v>
      </c>
      <c r="L156" s="9" t="s">
        <v>50</v>
      </c>
      <c r="M156" s="10"/>
      <c r="N156" s="9"/>
      <c r="O156" s="9"/>
      <c r="P156" s="10"/>
      <c r="Q156" s="11"/>
    </row>
    <row r="157" customFormat="false" ht="15" hidden="false" customHeight="false" outlineLevel="0" collapsed="false">
      <c r="A157" s="5" t="n">
        <v>156</v>
      </c>
      <c r="B157" s="5" t="n">
        <v>9</v>
      </c>
      <c r="C157" s="5" t="n">
        <v>4</v>
      </c>
      <c r="D157" s="6" t="s">
        <v>256</v>
      </c>
      <c r="E157" s="6" t="s">
        <v>259</v>
      </c>
      <c r="F157" s="5" t="n">
        <v>213</v>
      </c>
      <c r="G157" s="5" t="s">
        <v>59</v>
      </c>
      <c r="H157" s="5" t="s">
        <v>47</v>
      </c>
      <c r="I157" s="7" t="s">
        <v>49</v>
      </c>
      <c r="J157" s="7" t="s">
        <v>49</v>
      </c>
      <c r="K157" s="8" t="n">
        <f aca="false">Progress!$B$3+(B157-1)*7+(C157-1)</f>
        <v>46385</v>
      </c>
      <c r="L157" s="9" t="s">
        <v>50</v>
      </c>
      <c r="M157" s="10"/>
      <c r="N157" s="9"/>
      <c r="O157" s="9"/>
      <c r="P157" s="10"/>
      <c r="Q157" s="11"/>
    </row>
    <row r="158" customFormat="false" ht="15" hidden="false" customHeight="false" outlineLevel="0" collapsed="false">
      <c r="A158" s="5" t="n">
        <v>157</v>
      </c>
      <c r="B158" s="5" t="n">
        <v>9</v>
      </c>
      <c r="C158" s="5" t="n">
        <v>5</v>
      </c>
      <c r="D158" s="6" t="s">
        <v>260</v>
      </c>
      <c r="E158" s="6" t="s">
        <v>261</v>
      </c>
      <c r="F158" s="5" t="n">
        <v>322</v>
      </c>
      <c r="G158" s="5" t="s">
        <v>59</v>
      </c>
      <c r="H158" s="5" t="s">
        <v>47</v>
      </c>
      <c r="I158" s="7" t="s">
        <v>49</v>
      </c>
      <c r="J158" s="5" t="s">
        <v>45</v>
      </c>
      <c r="K158" s="8" t="n">
        <f aca="false">Progress!$B$3+(B158-1)*7+(C158-1)</f>
        <v>46386</v>
      </c>
      <c r="L158" s="9" t="s">
        <v>50</v>
      </c>
      <c r="M158" s="10"/>
      <c r="N158" s="9"/>
      <c r="O158" s="9"/>
      <c r="P158" s="10"/>
      <c r="Q158" s="11"/>
    </row>
    <row r="159" customFormat="false" ht="15" hidden="false" customHeight="false" outlineLevel="0" collapsed="false">
      <c r="A159" s="5" t="n">
        <v>158</v>
      </c>
      <c r="B159" s="5" t="n">
        <v>9</v>
      </c>
      <c r="C159" s="5" t="n">
        <v>5</v>
      </c>
      <c r="D159" s="6" t="s">
        <v>260</v>
      </c>
      <c r="E159" s="6" t="s">
        <v>262</v>
      </c>
      <c r="F159" s="5" t="n">
        <v>300</v>
      </c>
      <c r="G159" s="5" t="s">
        <v>59</v>
      </c>
      <c r="H159" s="5" t="s">
        <v>47</v>
      </c>
      <c r="I159" s="7" t="s">
        <v>49</v>
      </c>
      <c r="J159" s="7" t="s">
        <v>49</v>
      </c>
      <c r="K159" s="8" t="n">
        <f aca="false">Progress!$B$3+(B159-1)*7+(C159-1)</f>
        <v>46386</v>
      </c>
      <c r="L159" s="9" t="s">
        <v>50</v>
      </c>
      <c r="M159" s="10"/>
      <c r="N159" s="9"/>
      <c r="O159" s="9"/>
      <c r="P159" s="10"/>
      <c r="Q159" s="11"/>
    </row>
    <row r="160" customFormat="false" ht="15" hidden="false" customHeight="false" outlineLevel="0" collapsed="false">
      <c r="A160" s="5" t="n">
        <v>159</v>
      </c>
      <c r="B160" s="5" t="n">
        <v>9</v>
      </c>
      <c r="C160" s="5" t="n">
        <v>5</v>
      </c>
      <c r="D160" s="6" t="s">
        <v>260</v>
      </c>
      <c r="E160" s="6" t="s">
        <v>263</v>
      </c>
      <c r="F160" s="5" t="n">
        <v>62</v>
      </c>
      <c r="G160" s="5" t="s">
        <v>59</v>
      </c>
      <c r="H160" s="5" t="s">
        <v>47</v>
      </c>
      <c r="I160" s="7" t="s">
        <v>49</v>
      </c>
      <c r="J160" s="5" t="s">
        <v>45</v>
      </c>
      <c r="K160" s="8" t="n">
        <f aca="false">Progress!$B$3+(B160-1)*7+(C160-1)</f>
        <v>46386</v>
      </c>
      <c r="L160" s="9" t="s">
        <v>50</v>
      </c>
      <c r="M160" s="10"/>
      <c r="N160" s="9"/>
      <c r="O160" s="9"/>
      <c r="P160" s="10"/>
      <c r="Q160" s="11"/>
    </row>
    <row r="161" customFormat="false" ht="23.85" hidden="false" customHeight="false" outlineLevel="0" collapsed="false">
      <c r="A161" s="5" t="n">
        <v>160</v>
      </c>
      <c r="B161" s="5" t="n">
        <v>9</v>
      </c>
      <c r="C161" s="5" t="n">
        <v>6</v>
      </c>
      <c r="D161" s="6" t="s">
        <v>264</v>
      </c>
      <c r="E161" s="6" t="s">
        <v>265</v>
      </c>
      <c r="F161" s="5" t="n">
        <v>64</v>
      </c>
      <c r="G161" s="5" t="s">
        <v>59</v>
      </c>
      <c r="H161" s="5" t="s">
        <v>47</v>
      </c>
      <c r="I161" s="7" t="s">
        <v>49</v>
      </c>
      <c r="J161" s="7" t="s">
        <v>49</v>
      </c>
      <c r="K161" s="8" t="n">
        <f aca="false">Progress!$B$3+(B161-1)*7+(C161-1)</f>
        <v>46387</v>
      </c>
      <c r="L161" s="9" t="s">
        <v>50</v>
      </c>
      <c r="M161" s="10"/>
      <c r="N161" s="9"/>
      <c r="O161" s="9"/>
      <c r="P161" s="10"/>
      <c r="Q161" s="11"/>
    </row>
    <row r="162" customFormat="false" ht="23.85" hidden="false" customHeight="false" outlineLevel="0" collapsed="false">
      <c r="A162" s="5" t="n">
        <v>161</v>
      </c>
      <c r="B162" s="5" t="n">
        <v>9</v>
      </c>
      <c r="C162" s="5" t="n">
        <v>6</v>
      </c>
      <c r="D162" s="6" t="s">
        <v>264</v>
      </c>
      <c r="E162" s="6" t="s">
        <v>266</v>
      </c>
      <c r="F162" s="5" t="n">
        <v>1143</v>
      </c>
      <c r="G162" s="5" t="s">
        <v>59</v>
      </c>
      <c r="H162" s="5" t="s">
        <v>47</v>
      </c>
      <c r="I162" s="7" t="s">
        <v>49</v>
      </c>
      <c r="J162" s="5" t="s">
        <v>45</v>
      </c>
      <c r="K162" s="8" t="n">
        <f aca="false">Progress!$B$3+(B162-1)*7+(C162-1)</f>
        <v>46387</v>
      </c>
      <c r="L162" s="9" t="s">
        <v>50</v>
      </c>
      <c r="M162" s="10"/>
      <c r="N162" s="9"/>
      <c r="O162" s="9"/>
      <c r="P162" s="10"/>
      <c r="Q162" s="11"/>
    </row>
    <row r="163" customFormat="false" ht="23.85" hidden="false" customHeight="false" outlineLevel="0" collapsed="false">
      <c r="A163" s="5" t="n">
        <v>162</v>
      </c>
      <c r="B163" s="5" t="n">
        <v>9</v>
      </c>
      <c r="C163" s="5" t="n">
        <v>6</v>
      </c>
      <c r="D163" s="6" t="s">
        <v>264</v>
      </c>
      <c r="E163" s="6" t="s">
        <v>267</v>
      </c>
      <c r="F163" s="5" t="n">
        <v>416</v>
      </c>
      <c r="G163" s="5" t="s">
        <v>59</v>
      </c>
      <c r="H163" s="5" t="s">
        <v>106</v>
      </c>
      <c r="I163" s="7" t="s">
        <v>49</v>
      </c>
      <c r="J163" s="5" t="s">
        <v>45</v>
      </c>
      <c r="K163" s="8" t="n">
        <f aca="false">Progress!$B$3+(B163-1)*7+(C163-1)</f>
        <v>46387</v>
      </c>
      <c r="L163" s="9" t="s">
        <v>50</v>
      </c>
      <c r="M163" s="10"/>
      <c r="N163" s="9"/>
      <c r="O163" s="9"/>
      <c r="P163" s="10"/>
      <c r="Q163" s="11"/>
    </row>
    <row r="164" customFormat="false" ht="15" hidden="false" customHeight="false" outlineLevel="0" collapsed="false">
      <c r="A164" s="5" t="n">
        <v>163</v>
      </c>
      <c r="B164" s="5" t="n">
        <v>10</v>
      </c>
      <c r="C164" s="5" t="n">
        <v>1</v>
      </c>
      <c r="D164" s="6" t="s">
        <v>268</v>
      </c>
      <c r="E164" s="6" t="s">
        <v>269</v>
      </c>
      <c r="F164" s="5" t="n">
        <v>36</v>
      </c>
      <c r="G164" s="5" t="s">
        <v>59</v>
      </c>
      <c r="H164" s="5" t="s">
        <v>47</v>
      </c>
      <c r="I164" s="7" t="s">
        <v>49</v>
      </c>
      <c r="J164" s="5" t="s">
        <v>45</v>
      </c>
      <c r="K164" s="8" t="n">
        <f aca="false">Progress!$B$3+(B164-1)*7+(C164-1)</f>
        <v>46389</v>
      </c>
      <c r="L164" s="9" t="s">
        <v>50</v>
      </c>
      <c r="M164" s="10"/>
      <c r="N164" s="9"/>
      <c r="O164" s="9"/>
      <c r="P164" s="10"/>
      <c r="Q164" s="11"/>
    </row>
    <row r="165" customFormat="false" ht="15" hidden="false" customHeight="false" outlineLevel="0" collapsed="false">
      <c r="A165" s="5" t="n">
        <v>164</v>
      </c>
      <c r="B165" s="5" t="n">
        <v>10</v>
      </c>
      <c r="C165" s="5" t="n">
        <v>1</v>
      </c>
      <c r="D165" s="6" t="s">
        <v>268</v>
      </c>
      <c r="E165" s="6" t="s">
        <v>270</v>
      </c>
      <c r="F165" s="5" t="n">
        <v>54</v>
      </c>
      <c r="G165" s="5" t="s">
        <v>59</v>
      </c>
      <c r="H165" s="5" t="s">
        <v>47</v>
      </c>
      <c r="I165" s="7" t="s">
        <v>49</v>
      </c>
      <c r="J165" s="5" t="s">
        <v>45</v>
      </c>
      <c r="K165" s="8" t="n">
        <f aca="false">Progress!$B$3+(B165-1)*7+(C165-1)</f>
        <v>46389</v>
      </c>
      <c r="L165" s="9" t="s">
        <v>50</v>
      </c>
      <c r="M165" s="10"/>
      <c r="N165" s="9"/>
      <c r="O165" s="9"/>
      <c r="P165" s="10"/>
      <c r="Q165" s="11"/>
    </row>
    <row r="166" customFormat="false" ht="15" hidden="false" customHeight="false" outlineLevel="0" collapsed="false">
      <c r="A166" s="5" t="n">
        <v>165</v>
      </c>
      <c r="B166" s="5" t="n">
        <v>10</v>
      </c>
      <c r="C166" s="5" t="n">
        <v>1</v>
      </c>
      <c r="D166" s="6" t="s">
        <v>268</v>
      </c>
      <c r="E166" s="6" t="s">
        <v>271</v>
      </c>
      <c r="F166" s="5" t="n">
        <v>48</v>
      </c>
      <c r="G166" s="5" t="s">
        <v>59</v>
      </c>
      <c r="H166" s="5" t="s">
        <v>47</v>
      </c>
      <c r="I166" s="7" t="s">
        <v>49</v>
      </c>
      <c r="J166" s="5" t="s">
        <v>45</v>
      </c>
      <c r="K166" s="8" t="n">
        <f aca="false">Progress!$B$3+(B166-1)*7+(C166-1)</f>
        <v>46389</v>
      </c>
      <c r="L166" s="9" t="s">
        <v>50</v>
      </c>
      <c r="M166" s="10"/>
      <c r="N166" s="9"/>
      <c r="O166" s="9"/>
      <c r="P166" s="10"/>
      <c r="Q166" s="11"/>
    </row>
    <row r="167" customFormat="false" ht="15" hidden="false" customHeight="false" outlineLevel="0" collapsed="false">
      <c r="A167" s="5" t="n">
        <v>166</v>
      </c>
      <c r="B167" s="5" t="n">
        <v>10</v>
      </c>
      <c r="C167" s="5" t="n">
        <v>2</v>
      </c>
      <c r="D167" s="6" t="s">
        <v>272</v>
      </c>
      <c r="E167" s="6" t="s">
        <v>273</v>
      </c>
      <c r="F167" s="5" t="n">
        <v>73</v>
      </c>
      <c r="G167" s="5" t="s">
        <v>59</v>
      </c>
      <c r="H167" s="5" t="s">
        <v>47</v>
      </c>
      <c r="I167" s="7" t="s">
        <v>49</v>
      </c>
      <c r="J167" s="7" t="s">
        <v>49</v>
      </c>
      <c r="K167" s="8" t="n">
        <f aca="false">Progress!$B$3+(B167-1)*7+(C167-1)</f>
        <v>46390</v>
      </c>
      <c r="L167" s="9" t="s">
        <v>50</v>
      </c>
      <c r="M167" s="10"/>
      <c r="N167" s="9"/>
      <c r="O167" s="9"/>
      <c r="P167" s="10"/>
      <c r="Q167" s="11"/>
    </row>
    <row r="168" customFormat="false" ht="15" hidden="false" customHeight="false" outlineLevel="0" collapsed="false">
      <c r="A168" s="5" t="n">
        <v>167</v>
      </c>
      <c r="B168" s="5" t="n">
        <v>10</v>
      </c>
      <c r="C168" s="5" t="n">
        <v>2</v>
      </c>
      <c r="D168" s="6" t="s">
        <v>272</v>
      </c>
      <c r="E168" s="6" t="s">
        <v>274</v>
      </c>
      <c r="F168" s="5" t="n">
        <v>31</v>
      </c>
      <c r="G168" s="5" t="s">
        <v>59</v>
      </c>
      <c r="H168" s="5" t="s">
        <v>47</v>
      </c>
      <c r="I168" s="7" t="s">
        <v>49</v>
      </c>
      <c r="J168" s="7" t="s">
        <v>49</v>
      </c>
      <c r="K168" s="8" t="n">
        <f aca="false">Progress!$B$3+(B168-1)*7+(C168-1)</f>
        <v>46390</v>
      </c>
      <c r="L168" s="9" t="s">
        <v>50</v>
      </c>
      <c r="M168" s="10"/>
      <c r="N168" s="9"/>
      <c r="O168" s="9"/>
      <c r="P168" s="10"/>
      <c r="Q168" s="11"/>
    </row>
    <row r="169" customFormat="false" ht="15" hidden="false" customHeight="false" outlineLevel="0" collapsed="false">
      <c r="A169" s="5" t="n">
        <v>168</v>
      </c>
      <c r="B169" s="5" t="n">
        <v>10</v>
      </c>
      <c r="C169" s="5" t="n">
        <v>2</v>
      </c>
      <c r="D169" s="6" t="s">
        <v>272</v>
      </c>
      <c r="E169" s="6" t="s">
        <v>275</v>
      </c>
      <c r="F169" s="5" t="n">
        <v>74</v>
      </c>
      <c r="G169" s="5" t="s">
        <v>59</v>
      </c>
      <c r="H169" s="5" t="s">
        <v>47</v>
      </c>
      <c r="I169" s="7" t="s">
        <v>49</v>
      </c>
      <c r="J169" s="7" t="s">
        <v>49</v>
      </c>
      <c r="K169" s="8" t="n">
        <f aca="false">Progress!$B$3+(B169-1)*7+(C169-1)</f>
        <v>46390</v>
      </c>
      <c r="L169" s="9" t="s">
        <v>50</v>
      </c>
      <c r="M169" s="10"/>
      <c r="N169" s="9"/>
      <c r="O169" s="9"/>
      <c r="P169" s="10"/>
      <c r="Q169" s="11"/>
    </row>
    <row r="170" customFormat="false" ht="15" hidden="false" customHeight="false" outlineLevel="0" collapsed="false">
      <c r="A170" s="5" t="n">
        <v>169</v>
      </c>
      <c r="B170" s="5" t="n">
        <v>10</v>
      </c>
      <c r="C170" s="5" t="n">
        <v>3</v>
      </c>
      <c r="D170" s="6" t="s">
        <v>276</v>
      </c>
      <c r="E170" s="6" t="s">
        <v>277</v>
      </c>
      <c r="F170" s="5" t="n">
        <v>5</v>
      </c>
      <c r="G170" s="5" t="s">
        <v>59</v>
      </c>
      <c r="H170" s="5" t="s">
        <v>47</v>
      </c>
      <c r="I170" s="7" t="s">
        <v>49</v>
      </c>
      <c r="J170" s="5" t="s">
        <v>45</v>
      </c>
      <c r="K170" s="8" t="n">
        <f aca="false">Progress!$B$3+(B170-1)*7+(C170-1)</f>
        <v>46391</v>
      </c>
      <c r="L170" s="9" t="s">
        <v>50</v>
      </c>
      <c r="M170" s="10"/>
      <c r="N170" s="9"/>
      <c r="O170" s="9"/>
      <c r="P170" s="10"/>
      <c r="Q170" s="11"/>
    </row>
    <row r="171" customFormat="false" ht="15" hidden="false" customHeight="false" outlineLevel="0" collapsed="false">
      <c r="A171" s="5" t="n">
        <v>170</v>
      </c>
      <c r="B171" s="5" t="n">
        <v>10</v>
      </c>
      <c r="C171" s="5" t="n">
        <v>3</v>
      </c>
      <c r="D171" s="6" t="s">
        <v>276</v>
      </c>
      <c r="E171" s="6" t="s">
        <v>278</v>
      </c>
      <c r="F171" s="5" t="n">
        <v>647</v>
      </c>
      <c r="G171" s="5" t="s">
        <v>59</v>
      </c>
      <c r="H171" s="5" t="s">
        <v>47</v>
      </c>
      <c r="I171" s="7" t="s">
        <v>49</v>
      </c>
      <c r="J171" s="5" t="s">
        <v>45</v>
      </c>
      <c r="K171" s="8" t="n">
        <f aca="false">Progress!$B$3+(B171-1)*7+(C171-1)</f>
        <v>46391</v>
      </c>
      <c r="L171" s="9" t="s">
        <v>50</v>
      </c>
      <c r="M171" s="10"/>
      <c r="N171" s="9"/>
      <c r="O171" s="9"/>
      <c r="P171" s="10"/>
      <c r="Q171" s="11"/>
    </row>
    <row r="172" customFormat="false" ht="15" hidden="false" customHeight="false" outlineLevel="0" collapsed="false">
      <c r="A172" s="5" t="n">
        <v>171</v>
      </c>
      <c r="B172" s="5" t="n">
        <v>10</v>
      </c>
      <c r="C172" s="5" t="n">
        <v>3</v>
      </c>
      <c r="D172" s="6" t="s">
        <v>276</v>
      </c>
      <c r="E172" s="6" t="s">
        <v>279</v>
      </c>
      <c r="F172" s="5" t="n">
        <v>91</v>
      </c>
      <c r="G172" s="5" t="s">
        <v>59</v>
      </c>
      <c r="H172" s="5" t="s">
        <v>47</v>
      </c>
      <c r="I172" s="7" t="s">
        <v>49</v>
      </c>
      <c r="J172" s="5" t="s">
        <v>45</v>
      </c>
      <c r="K172" s="8" t="n">
        <f aca="false">Progress!$B$3+(B172-1)*7+(C172-1)</f>
        <v>46391</v>
      </c>
      <c r="L172" s="9" t="s">
        <v>50</v>
      </c>
      <c r="M172" s="10"/>
      <c r="N172" s="9"/>
      <c r="O172" s="9"/>
      <c r="P172" s="10"/>
      <c r="Q172" s="11"/>
    </row>
    <row r="173" customFormat="false" ht="23.85" hidden="false" customHeight="false" outlineLevel="0" collapsed="false">
      <c r="A173" s="5" t="n">
        <v>172</v>
      </c>
      <c r="B173" s="5" t="n">
        <v>10</v>
      </c>
      <c r="C173" s="5" t="n">
        <v>4</v>
      </c>
      <c r="D173" s="6" t="s">
        <v>280</v>
      </c>
      <c r="E173" s="6" t="s">
        <v>281</v>
      </c>
      <c r="F173" s="5" t="n">
        <v>204</v>
      </c>
      <c r="G173" s="5" t="s">
        <v>59</v>
      </c>
      <c r="H173" s="5" t="s">
        <v>47</v>
      </c>
      <c r="I173" s="7" t="s">
        <v>49</v>
      </c>
      <c r="J173" s="5" t="s">
        <v>45</v>
      </c>
      <c r="K173" s="8" t="n">
        <f aca="false">Progress!$B$3+(B173-1)*7+(C173-1)</f>
        <v>46392</v>
      </c>
      <c r="L173" s="9" t="s">
        <v>50</v>
      </c>
      <c r="M173" s="10"/>
      <c r="N173" s="9"/>
      <c r="O173" s="9"/>
      <c r="P173" s="10"/>
      <c r="Q173" s="11"/>
    </row>
    <row r="174" customFormat="false" ht="23.85" hidden="false" customHeight="false" outlineLevel="0" collapsed="false">
      <c r="A174" s="5" t="n">
        <v>173</v>
      </c>
      <c r="B174" s="5" t="n">
        <v>10</v>
      </c>
      <c r="C174" s="5" t="n">
        <v>4</v>
      </c>
      <c r="D174" s="6" t="s">
        <v>280</v>
      </c>
      <c r="E174" s="6" t="s">
        <v>282</v>
      </c>
      <c r="F174" s="5" t="n">
        <v>162</v>
      </c>
      <c r="G174" s="5" t="s">
        <v>59</v>
      </c>
      <c r="H174" s="5" t="s">
        <v>47</v>
      </c>
      <c r="I174" s="7" t="s">
        <v>49</v>
      </c>
      <c r="J174" s="5" t="s">
        <v>45</v>
      </c>
      <c r="K174" s="8" t="n">
        <f aca="false">Progress!$B$3+(B174-1)*7+(C174-1)</f>
        <v>46392</v>
      </c>
      <c r="L174" s="9" t="s">
        <v>50</v>
      </c>
      <c r="M174" s="10"/>
      <c r="N174" s="9"/>
      <c r="O174" s="9"/>
      <c r="P174" s="10"/>
      <c r="Q174" s="11"/>
    </row>
    <row r="175" customFormat="false" ht="23.85" hidden="false" customHeight="false" outlineLevel="0" collapsed="false">
      <c r="A175" s="5" t="n">
        <v>174</v>
      </c>
      <c r="B175" s="5" t="n">
        <v>10</v>
      </c>
      <c r="C175" s="5" t="n">
        <v>4</v>
      </c>
      <c r="D175" s="6" t="s">
        <v>280</v>
      </c>
      <c r="E175" s="6" t="s">
        <v>283</v>
      </c>
      <c r="F175" s="5" t="n">
        <v>763</v>
      </c>
      <c r="G175" s="5" t="s">
        <v>59</v>
      </c>
      <c r="H175" s="5" t="s">
        <v>47</v>
      </c>
      <c r="I175" s="7" t="s">
        <v>49</v>
      </c>
      <c r="J175" s="7" t="s">
        <v>49</v>
      </c>
      <c r="K175" s="8" t="n">
        <f aca="false">Progress!$B$3+(B175-1)*7+(C175-1)</f>
        <v>46392</v>
      </c>
      <c r="L175" s="9" t="s">
        <v>50</v>
      </c>
      <c r="M175" s="10"/>
      <c r="N175" s="9"/>
      <c r="O175" s="9"/>
      <c r="P175" s="10"/>
      <c r="Q175" s="11"/>
    </row>
    <row r="176" customFormat="false" ht="15" hidden="false" customHeight="false" outlineLevel="0" collapsed="false">
      <c r="A176" s="5" t="n">
        <v>175</v>
      </c>
      <c r="B176" s="5" t="n">
        <v>10</v>
      </c>
      <c r="C176" s="5" t="n">
        <v>5</v>
      </c>
      <c r="D176" s="6" t="s">
        <v>284</v>
      </c>
      <c r="E176" s="6" t="s">
        <v>285</v>
      </c>
      <c r="F176" s="5" t="n">
        <v>1448</v>
      </c>
      <c r="G176" s="5" t="s">
        <v>59</v>
      </c>
      <c r="H176" s="5" t="s">
        <v>47</v>
      </c>
      <c r="I176" s="7" t="s">
        <v>49</v>
      </c>
      <c r="J176" s="5" t="s">
        <v>45</v>
      </c>
      <c r="K176" s="8" t="n">
        <f aca="false">Progress!$B$3+(B176-1)*7+(C176-1)</f>
        <v>46393</v>
      </c>
      <c r="L176" s="9" t="s">
        <v>50</v>
      </c>
      <c r="M176" s="10"/>
      <c r="N176" s="9"/>
      <c r="O176" s="9"/>
      <c r="P176" s="10"/>
      <c r="Q176" s="11"/>
    </row>
    <row r="177" customFormat="false" ht="15" hidden="false" customHeight="false" outlineLevel="0" collapsed="false">
      <c r="A177" s="5" t="n">
        <v>176</v>
      </c>
      <c r="B177" s="5" t="n">
        <v>10</v>
      </c>
      <c r="C177" s="5" t="n">
        <v>5</v>
      </c>
      <c r="D177" s="6" t="s">
        <v>284</v>
      </c>
      <c r="E177" s="6" t="s">
        <v>286</v>
      </c>
      <c r="F177" s="5" t="n">
        <v>113</v>
      </c>
      <c r="G177" s="5" t="s">
        <v>59</v>
      </c>
      <c r="H177" s="5" t="s">
        <v>47</v>
      </c>
      <c r="I177" s="7" t="s">
        <v>49</v>
      </c>
      <c r="J177" s="5" t="s">
        <v>45</v>
      </c>
      <c r="K177" s="8" t="n">
        <f aca="false">Progress!$B$3+(B177-1)*7+(C177-1)</f>
        <v>46393</v>
      </c>
      <c r="L177" s="9" t="s">
        <v>50</v>
      </c>
      <c r="M177" s="10"/>
      <c r="N177" s="9"/>
      <c r="O177" s="9"/>
      <c r="P177" s="10"/>
      <c r="Q177" s="11"/>
    </row>
    <row r="178" customFormat="false" ht="15" hidden="false" customHeight="false" outlineLevel="0" collapsed="false">
      <c r="A178" s="5" t="n">
        <v>177</v>
      </c>
      <c r="B178" s="5" t="n">
        <v>10</v>
      </c>
      <c r="C178" s="5" t="n">
        <v>5</v>
      </c>
      <c r="D178" s="6" t="s">
        <v>284</v>
      </c>
      <c r="E178" s="6" t="s">
        <v>287</v>
      </c>
      <c r="F178" s="5" t="n">
        <v>103</v>
      </c>
      <c r="G178" s="5" t="s">
        <v>59</v>
      </c>
      <c r="H178" s="5" t="s">
        <v>47</v>
      </c>
      <c r="I178" s="7" t="s">
        <v>49</v>
      </c>
      <c r="J178" s="5" t="s">
        <v>45</v>
      </c>
      <c r="K178" s="8" t="n">
        <f aca="false">Progress!$B$3+(B178-1)*7+(C178-1)</f>
        <v>46393</v>
      </c>
      <c r="L178" s="9" t="s">
        <v>50</v>
      </c>
      <c r="M178" s="10"/>
      <c r="N178" s="9"/>
      <c r="O178" s="9"/>
      <c r="P178" s="10"/>
      <c r="Q178" s="11"/>
    </row>
    <row r="179" customFormat="false" ht="15" hidden="false" customHeight="false" outlineLevel="0" collapsed="false">
      <c r="A179" s="5" t="n">
        <v>178</v>
      </c>
      <c r="B179" s="5" t="n">
        <v>10</v>
      </c>
      <c r="C179" s="5" t="n">
        <v>6</v>
      </c>
      <c r="D179" s="6" t="s">
        <v>288</v>
      </c>
      <c r="E179" s="6" t="s">
        <v>289</v>
      </c>
      <c r="F179" s="5" t="n">
        <v>79</v>
      </c>
      <c r="G179" s="5" t="s">
        <v>59</v>
      </c>
      <c r="H179" s="5" t="s">
        <v>47</v>
      </c>
      <c r="I179" s="7" t="s">
        <v>49</v>
      </c>
      <c r="J179" s="5" t="s">
        <v>45</v>
      </c>
      <c r="K179" s="8" t="n">
        <f aca="false">Progress!$B$3+(B179-1)*7+(C179-1)</f>
        <v>46394</v>
      </c>
      <c r="L179" s="9" t="s">
        <v>50</v>
      </c>
      <c r="M179" s="10"/>
      <c r="N179" s="9"/>
      <c r="O179" s="9"/>
      <c r="P179" s="10"/>
      <c r="Q179" s="11"/>
    </row>
    <row r="180" customFormat="false" ht="15" hidden="false" customHeight="false" outlineLevel="0" collapsed="false">
      <c r="A180" s="5" t="n">
        <v>179</v>
      </c>
      <c r="B180" s="5" t="n">
        <v>10</v>
      </c>
      <c r="C180" s="5" t="n">
        <v>6</v>
      </c>
      <c r="D180" s="6" t="s">
        <v>288</v>
      </c>
      <c r="E180" s="6" t="s">
        <v>290</v>
      </c>
      <c r="F180" s="5" t="n">
        <v>40</v>
      </c>
      <c r="G180" s="5" t="s">
        <v>59</v>
      </c>
      <c r="H180" s="5" t="s">
        <v>47</v>
      </c>
      <c r="I180" s="7" t="s">
        <v>49</v>
      </c>
      <c r="J180" s="7" t="s">
        <v>49</v>
      </c>
      <c r="K180" s="8" t="n">
        <f aca="false">Progress!$B$3+(B180-1)*7+(C180-1)</f>
        <v>46394</v>
      </c>
      <c r="L180" s="9" t="s">
        <v>50</v>
      </c>
      <c r="M180" s="10"/>
      <c r="N180" s="9"/>
      <c r="O180" s="9"/>
      <c r="P180" s="10"/>
      <c r="Q180" s="11"/>
    </row>
    <row r="181" customFormat="false" ht="15" hidden="false" customHeight="false" outlineLevel="0" collapsed="false">
      <c r="A181" s="5" t="n">
        <v>180</v>
      </c>
      <c r="B181" s="5" t="n">
        <v>10</v>
      </c>
      <c r="C181" s="5" t="n">
        <v>6</v>
      </c>
      <c r="D181" s="6" t="s">
        <v>288</v>
      </c>
      <c r="E181" s="6" t="s">
        <v>291</v>
      </c>
      <c r="F181" s="5" t="n">
        <v>139</v>
      </c>
      <c r="G181" s="5" t="s">
        <v>59</v>
      </c>
      <c r="H181" s="5" t="s">
        <v>47</v>
      </c>
      <c r="I181" s="7" t="s">
        <v>49</v>
      </c>
      <c r="J181" s="5" t="s">
        <v>45</v>
      </c>
      <c r="K181" s="8" t="n">
        <f aca="false">Progress!$B$3+(B181-1)*7+(C181-1)</f>
        <v>46394</v>
      </c>
      <c r="L181" s="9" t="s">
        <v>50</v>
      </c>
      <c r="M181" s="10"/>
      <c r="N181" s="9"/>
      <c r="O181" s="9"/>
      <c r="P181" s="10"/>
      <c r="Q181" s="11"/>
    </row>
  </sheetData>
  <autoFilter ref="A1:Q181"/>
  <conditionalFormatting sqref="L2:L181">
    <cfRule type="expression" priority="2" aboveAverage="0" equalAverage="0" bottom="0" percent="0" rank="0" text="" dxfId="8">
      <formula>$L2="Solved"</formula>
    </cfRule>
    <cfRule type="expression" priority="3" aboveAverage="0" equalAverage="0" bottom="0" percent="0" rank="0" text="" dxfId="9">
      <formula>$L2="Needs revisit"</formula>
    </cfRule>
    <cfRule type="expression" priority="4" aboveAverage="0" equalAverage="0" bottom="0" percent="0" rank="0" text="" dxfId="10">
      <formula>$L2="Attempted"</formula>
    </cfRule>
  </conditionalFormatting>
  <conditionalFormatting sqref="G2:G181">
    <cfRule type="expression" priority="5" aboveAverage="0" equalAverage="0" bottom="0" percent="0" rank="0" text="" dxfId="11">
      <formula>$G2="Easy"</formula>
    </cfRule>
    <cfRule type="expression" priority="6" aboveAverage="0" equalAverage="0" bottom="0" percent="0" rank="0" text="" dxfId="12">
      <formula>$G2="Medium"</formula>
    </cfRule>
    <cfRule type="expression" priority="7" aboveAverage="0" equalAverage="0" bottom="0" percent="0" rank="0" text="" dxfId="13">
      <formula>$G2="Hard"</formula>
    </cfRule>
  </conditionalFormatting>
  <dataValidations count="2">
    <dataValidation allowBlank="false" errorStyle="stop" operator="between" showDropDown="false" showErrorMessage="false" showInputMessage="false" sqref="L2:L181" type="list">
      <formula1>"Not started,Attempted,Solved,Needs revisit"</formula1>
      <formula2>0</formula2>
    </dataValidation>
    <dataValidation allowBlank="true" errorStyle="stop" operator="between" showDropDown="false" showErrorMessage="false" showInputMessage="false" sqref="O2:O181" type="list">
      <formula1>"Yes,No"</formula1>
      <formula2>0</formula2>
    </dataValidation>
  </dataValidations>
  <hyperlinks>
    <hyperlink ref="J2" r:id="rId1" display="Open"/>
    <hyperlink ref="J3" r:id="rId2" display="Open"/>
    <hyperlink ref="I4" r:id="rId3" display="Open"/>
    <hyperlink ref="I5" r:id="rId4" display="Open"/>
    <hyperlink ref="I6" r:id="rId5" display="Open"/>
    <hyperlink ref="I7" r:id="rId6" display="Open"/>
    <hyperlink ref="I8" r:id="rId7" display="Open"/>
    <hyperlink ref="I9" r:id="rId8" display="Open"/>
    <hyperlink ref="I10" r:id="rId9" display="Open"/>
    <hyperlink ref="I11" r:id="rId10" display="Open"/>
    <hyperlink ref="I12" r:id="rId11" display="Open"/>
    <hyperlink ref="J12" r:id="rId12" display="Open"/>
    <hyperlink ref="I13" r:id="rId13" display="Open"/>
    <hyperlink ref="I14" r:id="rId14" display="Open"/>
    <hyperlink ref="I15" r:id="rId15" display="Open"/>
    <hyperlink ref="I16" r:id="rId16" display="Open"/>
    <hyperlink ref="I17" r:id="rId17" display="Open"/>
    <hyperlink ref="J17" r:id="rId18" display="Open"/>
    <hyperlink ref="I18" r:id="rId19" display="Open"/>
    <hyperlink ref="I19" r:id="rId20" display="Open"/>
    <hyperlink ref="I20" r:id="rId21" display="Open"/>
    <hyperlink ref="I21" r:id="rId22" display="Open"/>
    <hyperlink ref="I22" r:id="rId23" display="Open"/>
    <hyperlink ref="I23" r:id="rId24" display="Open"/>
    <hyperlink ref="I24" r:id="rId25" display="Open"/>
    <hyperlink ref="I25" r:id="rId26" display="Open"/>
    <hyperlink ref="J25" r:id="rId27" display="Open"/>
    <hyperlink ref="I26" r:id="rId28" display="Open"/>
    <hyperlink ref="J26" r:id="rId29" display="Open"/>
    <hyperlink ref="I27" r:id="rId30" display="Open"/>
    <hyperlink ref="I28" r:id="rId31" display="Open"/>
    <hyperlink ref="J28" r:id="rId32" display="Open"/>
    <hyperlink ref="I29" r:id="rId33" display="Open"/>
    <hyperlink ref="J29" r:id="rId34" display="Open"/>
    <hyperlink ref="I30" r:id="rId35" display="Open"/>
    <hyperlink ref="J30" r:id="rId36" display="Open"/>
    <hyperlink ref="I31" r:id="rId37" display="Open"/>
    <hyperlink ref="I32" r:id="rId38" display="Open"/>
    <hyperlink ref="I33" r:id="rId39" display="Open"/>
    <hyperlink ref="I34" r:id="rId40" display="Open"/>
    <hyperlink ref="I35" r:id="rId41" display="Open"/>
    <hyperlink ref="I36" r:id="rId42" display="Open"/>
    <hyperlink ref="I37" r:id="rId43" display="Open"/>
    <hyperlink ref="I38" r:id="rId44" display="Open"/>
    <hyperlink ref="I39" r:id="rId45" display="Open"/>
    <hyperlink ref="I40" r:id="rId46" display="Open"/>
    <hyperlink ref="I41" r:id="rId47" display="Open"/>
    <hyperlink ref="I42" r:id="rId48" display="Open"/>
    <hyperlink ref="I43" r:id="rId49" display="Open"/>
    <hyperlink ref="I44" r:id="rId50" display="Open"/>
    <hyperlink ref="I45" r:id="rId51" display="Open"/>
    <hyperlink ref="J45" r:id="rId52" display="Open"/>
    <hyperlink ref="I46" r:id="rId53" display="Open"/>
    <hyperlink ref="I47" r:id="rId54" display="Open"/>
    <hyperlink ref="I48" r:id="rId55" display="Open"/>
    <hyperlink ref="I49" r:id="rId56" display="Open"/>
    <hyperlink ref="J49" r:id="rId57" display="Open"/>
    <hyperlink ref="I50" r:id="rId58" display="Open"/>
    <hyperlink ref="J50" r:id="rId59" display="Open"/>
    <hyperlink ref="I51" r:id="rId60" display="Open"/>
    <hyperlink ref="J51" r:id="rId61" display="Open"/>
    <hyperlink ref="I52" r:id="rId62" display="Open"/>
    <hyperlink ref="J52" r:id="rId63" display="Open"/>
    <hyperlink ref="I53" r:id="rId64" display="Open"/>
    <hyperlink ref="I54" r:id="rId65" display="Open"/>
    <hyperlink ref="I55" r:id="rId66" display="Open"/>
    <hyperlink ref="I56" r:id="rId67" display="Open"/>
    <hyperlink ref="I57" r:id="rId68" display="Open"/>
    <hyperlink ref="I58" r:id="rId69" display="Open"/>
    <hyperlink ref="I59" r:id="rId70" display="Open"/>
    <hyperlink ref="I60" r:id="rId71" display="Open"/>
    <hyperlink ref="I61" r:id="rId72" display="Open"/>
    <hyperlink ref="I62" r:id="rId73" display="Open"/>
    <hyperlink ref="I63" r:id="rId74" display="Open"/>
    <hyperlink ref="I64" r:id="rId75" display="Open"/>
    <hyperlink ref="J64" r:id="rId76" display="Open"/>
    <hyperlink ref="I65" r:id="rId77" display="Open"/>
    <hyperlink ref="I66" r:id="rId78" display="Open"/>
    <hyperlink ref="I67" r:id="rId79" display="Open"/>
    <hyperlink ref="I68" r:id="rId80" display="Open"/>
    <hyperlink ref="I69" r:id="rId81" display="Open"/>
    <hyperlink ref="I70" r:id="rId82" display="Open"/>
    <hyperlink ref="I71" r:id="rId83" display="Open"/>
    <hyperlink ref="I72" r:id="rId84" display="Open"/>
    <hyperlink ref="I73" r:id="rId85" display="Open"/>
    <hyperlink ref="I74" r:id="rId86" display="Open"/>
    <hyperlink ref="I75" r:id="rId87" display="Open"/>
    <hyperlink ref="I76" r:id="rId88" display="Open"/>
    <hyperlink ref="I77" r:id="rId89" display="Open"/>
    <hyperlink ref="I78" r:id="rId90" display="Open"/>
    <hyperlink ref="I79" r:id="rId91" display="Open"/>
    <hyperlink ref="I80" r:id="rId92" display="Open"/>
    <hyperlink ref="I81" r:id="rId93" display="Open"/>
    <hyperlink ref="I82" r:id="rId94" display="Open"/>
    <hyperlink ref="I83" r:id="rId95" display="Open"/>
    <hyperlink ref="I84" r:id="rId96" display="Open"/>
    <hyperlink ref="I85" r:id="rId97" display="Open"/>
    <hyperlink ref="I86" r:id="rId98" display="Open"/>
    <hyperlink ref="I87" r:id="rId99" display="Open"/>
    <hyperlink ref="I88" r:id="rId100" display="Open"/>
    <hyperlink ref="I89" r:id="rId101" display="Open"/>
    <hyperlink ref="I90" r:id="rId102" display="Open"/>
    <hyperlink ref="I91" r:id="rId103" display="Open"/>
    <hyperlink ref="I92" r:id="rId104" display="Open"/>
    <hyperlink ref="I93" r:id="rId105" display="Open"/>
    <hyperlink ref="I94" r:id="rId106" display="Open"/>
    <hyperlink ref="I95" r:id="rId107" display="Open"/>
    <hyperlink ref="I96" r:id="rId108" display="Open"/>
    <hyperlink ref="I97" r:id="rId109" display="Open"/>
    <hyperlink ref="I98" r:id="rId110" display="Open"/>
    <hyperlink ref="I99" r:id="rId111" display="Open"/>
    <hyperlink ref="I100" r:id="rId112" display="Open"/>
    <hyperlink ref="I101" r:id="rId113" display="Open"/>
    <hyperlink ref="I102" r:id="rId114" display="Open"/>
    <hyperlink ref="I103" r:id="rId115" display="Open"/>
    <hyperlink ref="I104" r:id="rId116" display="Open"/>
    <hyperlink ref="I105" r:id="rId117" display="Open"/>
    <hyperlink ref="I106" r:id="rId118" display="Open"/>
    <hyperlink ref="I107" r:id="rId119" display="Open"/>
    <hyperlink ref="I108" r:id="rId120" display="Open"/>
    <hyperlink ref="I109" r:id="rId121" display="Open"/>
    <hyperlink ref="I110" r:id="rId122" display="Open"/>
    <hyperlink ref="I111" r:id="rId123" display="Open"/>
    <hyperlink ref="I112" r:id="rId124" display="Open"/>
    <hyperlink ref="J112" r:id="rId125" display="Open"/>
    <hyperlink ref="I113" r:id="rId126" display="Open"/>
    <hyperlink ref="I114" r:id="rId127" display="Open"/>
    <hyperlink ref="I115" r:id="rId128" display="Open"/>
    <hyperlink ref="I116" r:id="rId129" display="Open"/>
    <hyperlink ref="I117" r:id="rId130" display="Open"/>
    <hyperlink ref="I118" r:id="rId131" display="Open"/>
    <hyperlink ref="I119" r:id="rId132" display="Open"/>
    <hyperlink ref="I120" r:id="rId133" display="Open"/>
    <hyperlink ref="I121" r:id="rId134" display="Open"/>
    <hyperlink ref="I122" r:id="rId135" display="Open"/>
    <hyperlink ref="I123" r:id="rId136" display="Open"/>
    <hyperlink ref="J123" r:id="rId137" display="Open"/>
    <hyperlink ref="I124" r:id="rId138" display="Open"/>
    <hyperlink ref="J124" r:id="rId139" display="Open"/>
    <hyperlink ref="I125" r:id="rId140" display="Open"/>
    <hyperlink ref="J125" r:id="rId141" display="Open"/>
    <hyperlink ref="I126" r:id="rId142" display="Open"/>
    <hyperlink ref="J126" r:id="rId143" display="Open"/>
    <hyperlink ref="I127" r:id="rId144" display="Open"/>
    <hyperlink ref="I128" r:id="rId145" display="Open"/>
    <hyperlink ref="I129" r:id="rId146" display="Open"/>
    <hyperlink ref="I130" r:id="rId147" display="Open"/>
    <hyperlink ref="I131" r:id="rId148" display="Open"/>
    <hyperlink ref="I132" r:id="rId149" display="Open"/>
    <hyperlink ref="I133" r:id="rId150" display="Open"/>
    <hyperlink ref="I134" r:id="rId151" display="Open"/>
    <hyperlink ref="I135" r:id="rId152" display="Open"/>
    <hyperlink ref="I136" r:id="rId153" display="Open"/>
    <hyperlink ref="I137" r:id="rId154" display="Open"/>
    <hyperlink ref="I138" r:id="rId155" display="Open"/>
    <hyperlink ref="J138" r:id="rId156" display="Open"/>
    <hyperlink ref="I139" r:id="rId157" display="Open"/>
    <hyperlink ref="I140" r:id="rId158" display="Open"/>
    <hyperlink ref="I141" r:id="rId159" display="Open"/>
    <hyperlink ref="I142" r:id="rId160" display="Open"/>
    <hyperlink ref="I143" r:id="rId161" display="Open"/>
    <hyperlink ref="I144" r:id="rId162" display="Open"/>
    <hyperlink ref="I145" r:id="rId163" display="Open"/>
    <hyperlink ref="I146" r:id="rId164" display="Open"/>
    <hyperlink ref="I147" r:id="rId165" display="Open"/>
    <hyperlink ref="I148" r:id="rId166" display="Open"/>
    <hyperlink ref="J148" r:id="rId167" display="Open"/>
    <hyperlink ref="I149" r:id="rId168" display="Open"/>
    <hyperlink ref="I150" r:id="rId169" display="Open"/>
    <hyperlink ref="I151" r:id="rId170" display="Open"/>
    <hyperlink ref="J151" r:id="rId171" display="Open"/>
    <hyperlink ref="I152" r:id="rId172" display="Open"/>
    <hyperlink ref="J152" r:id="rId173" display="Open"/>
    <hyperlink ref="I153" r:id="rId174" display="Open"/>
    <hyperlink ref="J153" r:id="rId175" display="Open"/>
    <hyperlink ref="I154" r:id="rId176" display="Open"/>
    <hyperlink ref="I155" r:id="rId177" display="Open"/>
    <hyperlink ref="I156" r:id="rId178" display="Open"/>
    <hyperlink ref="J156" r:id="rId179" display="Open"/>
    <hyperlink ref="I157" r:id="rId180" display="Open"/>
    <hyperlink ref="J157" r:id="rId181" display="Open"/>
    <hyperlink ref="I158" r:id="rId182" display="Open"/>
    <hyperlink ref="I159" r:id="rId183" display="Open"/>
    <hyperlink ref="J159" r:id="rId184" display="Open"/>
    <hyperlink ref="I160" r:id="rId185" display="Open"/>
    <hyperlink ref="I161" r:id="rId186" display="Open"/>
    <hyperlink ref="J161" r:id="rId187" display="Open"/>
    <hyperlink ref="I162" r:id="rId188" display="Open"/>
    <hyperlink ref="I163" r:id="rId189" display="Open"/>
    <hyperlink ref="I164" r:id="rId190" display="Open"/>
    <hyperlink ref="I165" r:id="rId191" display="Open"/>
    <hyperlink ref="I166" r:id="rId192" display="Open"/>
    <hyperlink ref="I167" r:id="rId193" display="Open"/>
    <hyperlink ref="J167" r:id="rId194" display="Open"/>
    <hyperlink ref="I168" r:id="rId195" display="Open"/>
    <hyperlink ref="J168" r:id="rId196" display="Open"/>
    <hyperlink ref="I169" r:id="rId197" display="Open"/>
    <hyperlink ref="J169" r:id="rId198" display="Open"/>
    <hyperlink ref="I170" r:id="rId199" display="Open"/>
    <hyperlink ref="I171" r:id="rId200" display="Open"/>
    <hyperlink ref="I172" r:id="rId201" display="Open"/>
    <hyperlink ref="I173" r:id="rId202" display="Open"/>
    <hyperlink ref="I174" r:id="rId203" display="Open"/>
    <hyperlink ref="I175" r:id="rId204" display="Open"/>
    <hyperlink ref="J175" r:id="rId205" display="Open"/>
    <hyperlink ref="I176" r:id="rId206" display="Open"/>
    <hyperlink ref="I177" r:id="rId207" display="Open"/>
    <hyperlink ref="I178" r:id="rId208" display="Open"/>
    <hyperlink ref="I179" r:id="rId209" display="Open"/>
    <hyperlink ref="I180" r:id="rId210" display="Open"/>
    <hyperlink ref="J180" r:id="rId211" display="Open"/>
    <hyperlink ref="I181" r:id="rId212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292</v>
      </c>
    </row>
    <row r="3" customFormat="false" ht="15" hidden="false" customHeight="false" outlineLevel="0" collapsed="false">
      <c r="A3" s="12" t="s">
        <v>28</v>
      </c>
      <c r="B3" s="12" t="s">
        <v>293</v>
      </c>
      <c r="C3" s="12" t="s">
        <v>294</v>
      </c>
    </row>
    <row r="4" customFormat="false" ht="48" hidden="false" customHeight="true" outlineLevel="0" collapsed="false">
      <c r="A4" s="13" t="n">
        <v>1</v>
      </c>
      <c r="B4" s="2" t="s">
        <v>295</v>
      </c>
      <c r="C4" s="3" t="s">
        <v>296</v>
      </c>
    </row>
    <row r="5" customFormat="false" ht="48" hidden="false" customHeight="true" outlineLevel="0" collapsed="false">
      <c r="A5" s="13" t="n">
        <v>2</v>
      </c>
      <c r="B5" s="2" t="s">
        <v>297</v>
      </c>
      <c r="C5" s="3" t="s">
        <v>298</v>
      </c>
    </row>
    <row r="6" customFormat="false" ht="48" hidden="false" customHeight="true" outlineLevel="0" collapsed="false">
      <c r="A6" s="13" t="n">
        <v>3</v>
      </c>
      <c r="B6" s="2" t="s">
        <v>299</v>
      </c>
      <c r="C6" s="3" t="s">
        <v>300</v>
      </c>
    </row>
    <row r="7" customFormat="false" ht="48" hidden="false" customHeight="true" outlineLevel="0" collapsed="false">
      <c r="A7" s="13" t="n">
        <v>4</v>
      </c>
      <c r="B7" s="2" t="s">
        <v>301</v>
      </c>
      <c r="C7" s="3" t="s">
        <v>302</v>
      </c>
    </row>
    <row r="8" customFormat="false" ht="48" hidden="false" customHeight="true" outlineLevel="0" collapsed="false">
      <c r="A8" s="13" t="n">
        <v>5</v>
      </c>
      <c r="B8" s="2" t="s">
        <v>303</v>
      </c>
      <c r="C8" s="3" t="s">
        <v>304</v>
      </c>
    </row>
    <row r="9" customFormat="false" ht="48" hidden="false" customHeight="true" outlineLevel="0" collapsed="false">
      <c r="A9" s="13" t="n">
        <v>6</v>
      </c>
      <c r="B9" s="2" t="s">
        <v>305</v>
      </c>
      <c r="C9" s="3" t="s">
        <v>306</v>
      </c>
    </row>
    <row r="10" customFormat="false" ht="48" hidden="false" customHeight="true" outlineLevel="0" collapsed="false">
      <c r="A10" s="13" t="n">
        <v>7</v>
      </c>
      <c r="B10" s="2" t="s">
        <v>307</v>
      </c>
      <c r="C10" s="3" t="s">
        <v>308</v>
      </c>
    </row>
    <row r="11" customFormat="false" ht="48" hidden="false" customHeight="true" outlineLevel="0" collapsed="false">
      <c r="A11" s="13" t="n">
        <v>8</v>
      </c>
      <c r="B11" s="2" t="s">
        <v>309</v>
      </c>
      <c r="C11" s="3" t="s">
        <v>310</v>
      </c>
    </row>
    <row r="12" customFormat="false" ht="48" hidden="false" customHeight="true" outlineLevel="0" collapsed="false">
      <c r="A12" s="13" t="n">
        <v>9</v>
      </c>
      <c r="B12" s="2" t="s">
        <v>311</v>
      </c>
      <c r="C12" s="3" t="s">
        <v>312</v>
      </c>
    </row>
    <row r="13" customFormat="false" ht="48" hidden="false" customHeight="true" outlineLevel="0" collapsed="false">
      <c r="A13" s="13" t="n">
        <v>10</v>
      </c>
      <c r="B13" s="2" t="s">
        <v>313</v>
      </c>
      <c r="C13" s="3" t="s">
        <v>314</v>
      </c>
    </row>
    <row r="15" customFormat="false" ht="15" hidden="false" customHeight="false" outlineLevel="0" collapsed="false">
      <c r="A15" s="14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316</v>
      </c>
    </row>
    <row r="3" customFormat="false" ht="15" hidden="false" customHeight="false" outlineLevel="0" collapsed="false">
      <c r="A3" s="15" t="s">
        <v>317</v>
      </c>
      <c r="B3" s="16" t="n">
        <v>46326</v>
      </c>
      <c r="C3" s="17" t="s">
        <v>318</v>
      </c>
    </row>
    <row r="4" customFormat="false" ht="15" hidden="false" customHeight="false" outlineLevel="0" collapsed="false">
      <c r="A4" s="15" t="s">
        <v>319</v>
      </c>
      <c r="B4" s="16" t="n">
        <v>46398</v>
      </c>
      <c r="C4" s="17" t="s">
        <v>320</v>
      </c>
    </row>
    <row r="5" customFormat="false" ht="15" hidden="false" customHeight="false" outlineLevel="0" collapsed="false">
      <c r="A5" s="15" t="s">
        <v>321</v>
      </c>
      <c r="B5" s="18" t="n">
        <f aca="true">MAX(0,B4-TODAY())</f>
        <v>73</v>
      </c>
    </row>
    <row r="7" customFormat="false" ht="15" hidden="false" customHeight="false" outlineLevel="0" collapsed="false">
      <c r="A7" s="15" t="s">
        <v>322</v>
      </c>
    </row>
    <row r="8" customFormat="false" ht="15" hidden="false" customHeight="false" outlineLevel="0" collapsed="false">
      <c r="A8" s="18" t="s">
        <v>323</v>
      </c>
      <c r="B8" s="18" t="n">
        <f aca="false">COUNTA('Problem Tracker'!E2:E181)</f>
        <v>180</v>
      </c>
    </row>
    <row r="9" customFormat="false" ht="15" hidden="false" customHeight="false" outlineLevel="0" collapsed="false">
      <c r="A9" s="18" t="s">
        <v>324</v>
      </c>
      <c r="B9" s="18" t="n">
        <f aca="false">COUNTIF('Problem Tracker'!L2:L181,"Solved")</f>
        <v>0</v>
      </c>
    </row>
    <row r="10" customFormat="false" ht="15" hidden="false" customHeight="false" outlineLevel="0" collapsed="false">
      <c r="A10" s="18" t="s">
        <v>325</v>
      </c>
      <c r="B10" s="19" t="n">
        <f aca="false">IFERROR(B9/B8,0)</f>
        <v>0</v>
      </c>
    </row>
    <row r="11" customFormat="false" ht="15" hidden="false" customHeight="false" outlineLevel="0" collapsed="false">
      <c r="A11" s="18" t="s">
        <v>326</v>
      </c>
      <c r="B11" s="18" t="n">
        <f aca="false">COUNTIFS('Problem Tracker'!L2:L181,"Solved",'Problem Tracker'!O2:O181,"No")</f>
        <v>0</v>
      </c>
    </row>
    <row r="12" customFormat="false" ht="15" hidden="false" customHeight="false" outlineLevel="0" collapsed="false">
      <c r="A12" s="18" t="s">
        <v>327</v>
      </c>
      <c r="B12" s="18" t="n">
        <f aca="false">COUNTIF('Problem Tracker'!L2:L181,"Needs revisit")</f>
        <v>0</v>
      </c>
    </row>
    <row r="13" customFormat="false" ht="15" hidden="false" customHeight="false" outlineLevel="0" collapsed="false">
      <c r="A13" s="18" t="s">
        <v>328</v>
      </c>
      <c r="B13" s="20" t="n">
        <f aca="false">IFERROR(AVERAGEIFS('Problem Tracker'!N2:N181,'Problem Tracker'!L2:L181,"Solved"),0)</f>
        <v>0</v>
      </c>
    </row>
    <row r="15" customFormat="false" ht="15" hidden="false" customHeight="false" outlineLevel="0" collapsed="false">
      <c r="A15" s="15" t="s">
        <v>329</v>
      </c>
    </row>
    <row r="16" customFormat="false" ht="15" hidden="false" customHeight="false" outlineLevel="0" collapsed="false">
      <c r="A16" s="12" t="s">
        <v>28</v>
      </c>
      <c r="B16" s="12" t="s">
        <v>330</v>
      </c>
      <c r="C16" s="12" t="s">
        <v>324</v>
      </c>
      <c r="D16" s="12" t="s">
        <v>327</v>
      </c>
      <c r="E16" s="12" t="s">
        <v>325</v>
      </c>
    </row>
    <row r="17" customFormat="false" ht="15" hidden="false" customHeight="false" outlineLevel="0" collapsed="false">
      <c r="A17" s="18" t="n">
        <v>1</v>
      </c>
      <c r="B17" s="18" t="n">
        <f aca="false">COUNTIF('Problem Tracker'!B2:B181,A17)</f>
        <v>18</v>
      </c>
      <c r="C17" s="18" t="n">
        <f aca="false">COUNTIFS('Problem Tracker'!B2:B181,A17,'Problem Tracker'!L2:L181,"Solved")</f>
        <v>0</v>
      </c>
      <c r="D17" s="18" t="n">
        <f aca="false">COUNTIFS('Problem Tracker'!B2:B181,A17,'Problem Tracker'!L2:L181,"Needs revisit")</f>
        <v>0</v>
      </c>
      <c r="E17" s="21" t="n">
        <f aca="false">IFERROR(C17/B17,0)</f>
        <v>0</v>
      </c>
    </row>
    <row r="18" customFormat="false" ht="15" hidden="false" customHeight="false" outlineLevel="0" collapsed="false">
      <c r="A18" s="18" t="n">
        <v>2</v>
      </c>
      <c r="B18" s="18" t="n">
        <f aca="false">COUNTIF('Problem Tracker'!B2:B181,A18)</f>
        <v>18</v>
      </c>
      <c r="C18" s="18" t="n">
        <f aca="false">COUNTIFS('Problem Tracker'!B2:B181,A18,'Problem Tracker'!L2:L181,"Solved")</f>
        <v>0</v>
      </c>
      <c r="D18" s="18" t="n">
        <f aca="false">COUNTIFS('Problem Tracker'!B2:B181,A18,'Problem Tracker'!L2:L181,"Needs revisit")</f>
        <v>0</v>
      </c>
      <c r="E18" s="21" t="n">
        <f aca="false">IFERROR(C18/B18,0)</f>
        <v>0</v>
      </c>
    </row>
    <row r="19" customFormat="false" ht="15" hidden="false" customHeight="false" outlineLevel="0" collapsed="false">
      <c r="A19" s="18" t="n">
        <v>3</v>
      </c>
      <c r="B19" s="18" t="n">
        <f aca="false">COUNTIF('Problem Tracker'!B2:B181,A19)</f>
        <v>18</v>
      </c>
      <c r="C19" s="18" t="n">
        <f aca="false">COUNTIFS('Problem Tracker'!B2:B181,A19,'Problem Tracker'!L2:L181,"Solved")</f>
        <v>0</v>
      </c>
      <c r="D19" s="18" t="n">
        <f aca="false">COUNTIFS('Problem Tracker'!B2:B181,A19,'Problem Tracker'!L2:L181,"Needs revisit")</f>
        <v>0</v>
      </c>
      <c r="E19" s="21" t="n">
        <f aca="false">IFERROR(C19/B19,0)</f>
        <v>0</v>
      </c>
    </row>
    <row r="20" customFormat="false" ht="15" hidden="false" customHeight="false" outlineLevel="0" collapsed="false">
      <c r="A20" s="18" t="n">
        <v>4</v>
      </c>
      <c r="B20" s="18" t="n">
        <f aca="false">COUNTIF('Problem Tracker'!B2:B181,A20)</f>
        <v>18</v>
      </c>
      <c r="C20" s="18" t="n">
        <f aca="false">COUNTIFS('Problem Tracker'!B2:B181,A20,'Problem Tracker'!L2:L181,"Solved")</f>
        <v>0</v>
      </c>
      <c r="D20" s="18" t="n">
        <f aca="false">COUNTIFS('Problem Tracker'!B2:B181,A20,'Problem Tracker'!L2:L181,"Needs revisit")</f>
        <v>0</v>
      </c>
      <c r="E20" s="21" t="n">
        <f aca="false">IFERROR(C20/B20,0)</f>
        <v>0</v>
      </c>
    </row>
    <row r="21" customFormat="false" ht="15" hidden="false" customHeight="false" outlineLevel="0" collapsed="false">
      <c r="A21" s="18" t="n">
        <v>5</v>
      </c>
      <c r="B21" s="18" t="n">
        <f aca="false">COUNTIF('Problem Tracker'!B2:B181,A21)</f>
        <v>18</v>
      </c>
      <c r="C21" s="18" t="n">
        <f aca="false">COUNTIFS('Problem Tracker'!B2:B181,A21,'Problem Tracker'!L2:L181,"Solved")</f>
        <v>0</v>
      </c>
      <c r="D21" s="18" t="n">
        <f aca="false">COUNTIFS('Problem Tracker'!B2:B181,A21,'Problem Tracker'!L2:L181,"Needs revisit")</f>
        <v>0</v>
      </c>
      <c r="E21" s="21" t="n">
        <f aca="false">IFERROR(C21/B21,0)</f>
        <v>0</v>
      </c>
    </row>
    <row r="22" customFormat="false" ht="15" hidden="false" customHeight="false" outlineLevel="0" collapsed="false">
      <c r="A22" s="18" t="n">
        <v>6</v>
      </c>
      <c r="B22" s="18" t="n">
        <f aca="false">COUNTIF('Problem Tracker'!B2:B181,A22)</f>
        <v>18</v>
      </c>
      <c r="C22" s="18" t="n">
        <f aca="false">COUNTIFS('Problem Tracker'!B2:B181,A22,'Problem Tracker'!L2:L181,"Solved")</f>
        <v>0</v>
      </c>
      <c r="D22" s="18" t="n">
        <f aca="false">COUNTIFS('Problem Tracker'!B2:B181,A22,'Problem Tracker'!L2:L181,"Needs revisit")</f>
        <v>0</v>
      </c>
      <c r="E22" s="21" t="n">
        <f aca="false">IFERROR(C22/B22,0)</f>
        <v>0</v>
      </c>
    </row>
    <row r="23" customFormat="false" ht="15" hidden="false" customHeight="false" outlineLevel="0" collapsed="false">
      <c r="A23" s="18" t="n">
        <v>7</v>
      </c>
      <c r="B23" s="18" t="n">
        <f aca="false">COUNTIF('Problem Tracker'!B2:B181,A23)</f>
        <v>18</v>
      </c>
      <c r="C23" s="18" t="n">
        <f aca="false">COUNTIFS('Problem Tracker'!B2:B181,A23,'Problem Tracker'!L2:L181,"Solved")</f>
        <v>0</v>
      </c>
      <c r="D23" s="18" t="n">
        <f aca="false">COUNTIFS('Problem Tracker'!B2:B181,A23,'Problem Tracker'!L2:L181,"Needs revisit")</f>
        <v>0</v>
      </c>
      <c r="E23" s="21" t="n">
        <f aca="false">IFERROR(C23/B23,0)</f>
        <v>0</v>
      </c>
    </row>
    <row r="24" customFormat="false" ht="15" hidden="false" customHeight="false" outlineLevel="0" collapsed="false">
      <c r="A24" s="18" t="n">
        <v>8</v>
      </c>
      <c r="B24" s="18" t="n">
        <f aca="false">COUNTIF('Problem Tracker'!B2:B181,A24)</f>
        <v>18</v>
      </c>
      <c r="C24" s="18" t="n">
        <f aca="false">COUNTIFS('Problem Tracker'!B2:B181,A24,'Problem Tracker'!L2:L181,"Solved")</f>
        <v>0</v>
      </c>
      <c r="D24" s="18" t="n">
        <f aca="false">COUNTIFS('Problem Tracker'!B2:B181,A24,'Problem Tracker'!L2:L181,"Needs revisit")</f>
        <v>0</v>
      </c>
      <c r="E24" s="21" t="n">
        <f aca="false">IFERROR(C24/B24,0)</f>
        <v>0</v>
      </c>
    </row>
    <row r="25" customFormat="false" ht="15" hidden="false" customHeight="false" outlineLevel="0" collapsed="false">
      <c r="A25" s="18" t="n">
        <v>9</v>
      </c>
      <c r="B25" s="18" t="n">
        <f aca="false">COUNTIF('Problem Tracker'!B2:B181,A25)</f>
        <v>18</v>
      </c>
      <c r="C25" s="18" t="n">
        <f aca="false">COUNTIFS('Problem Tracker'!B2:B181,A25,'Problem Tracker'!L2:L181,"Solved")</f>
        <v>0</v>
      </c>
      <c r="D25" s="18" t="n">
        <f aca="false">COUNTIFS('Problem Tracker'!B2:B181,A25,'Problem Tracker'!L2:L181,"Needs revisit")</f>
        <v>0</v>
      </c>
      <c r="E25" s="21" t="n">
        <f aca="false">IFERROR(C25/B25,0)</f>
        <v>0</v>
      </c>
    </row>
    <row r="26" customFormat="false" ht="15" hidden="false" customHeight="false" outlineLevel="0" collapsed="false">
      <c r="A26" s="18" t="n">
        <v>10</v>
      </c>
      <c r="B26" s="18" t="n">
        <f aca="false">COUNTIF('Problem Tracker'!B2:B181,A26)</f>
        <v>18</v>
      </c>
      <c r="C26" s="18" t="n">
        <f aca="false">COUNTIFS('Problem Tracker'!B2:B181,A26,'Problem Tracker'!L2:L181,"Solved")</f>
        <v>0</v>
      </c>
      <c r="D26" s="18" t="n">
        <f aca="false">COUNTIFS('Problem Tracker'!B2:B181,A26,'Problem Tracker'!L2:L181,"Needs revisit")</f>
        <v>0</v>
      </c>
      <c r="E26" s="21" t="n">
        <f aca="false">IFERROR(C26/B26,0)</f>
        <v>0</v>
      </c>
    </row>
    <row r="28" customFormat="false" ht="15" hidden="false" customHeight="false" outlineLevel="0" collapsed="false">
      <c r="A28" s="15" t="s">
        <v>331</v>
      </c>
    </row>
    <row r="29" customFormat="false" ht="15" hidden="false" customHeight="false" outlineLevel="0" collapsed="false">
      <c r="A29" s="12" t="s">
        <v>33</v>
      </c>
      <c r="B29" s="12" t="s">
        <v>330</v>
      </c>
      <c r="C29" s="12" t="s">
        <v>324</v>
      </c>
      <c r="D29" s="12" t="s">
        <v>325</v>
      </c>
    </row>
    <row r="30" customFormat="false" ht="15" hidden="false" customHeight="false" outlineLevel="0" collapsed="false">
      <c r="A30" s="18" t="s">
        <v>46</v>
      </c>
      <c r="B30" s="18" t="n">
        <f aca="false">COUNTIF('Problem Tracker'!G2:G181,A30)</f>
        <v>74</v>
      </c>
      <c r="C30" s="18" t="n">
        <f aca="false">COUNTIFS('Problem Tracker'!G2:G181,A30,'Problem Tracker'!L2:L181,"Solved")</f>
        <v>0</v>
      </c>
      <c r="D30" s="21" t="n">
        <f aca="false">IFERROR(C30/B30,0)</f>
        <v>0</v>
      </c>
    </row>
    <row r="31" customFormat="false" ht="15" hidden="false" customHeight="false" outlineLevel="0" collapsed="false">
      <c r="A31" s="18" t="s">
        <v>59</v>
      </c>
      <c r="B31" s="18" t="n">
        <f aca="false">COUNTIF('Problem Tracker'!G2:G181,A31)</f>
        <v>102</v>
      </c>
      <c r="C31" s="18" t="n">
        <f aca="false">COUNTIFS('Problem Tracker'!G2:G181,A31,'Problem Tracker'!L2:L181,"Solved")</f>
        <v>0</v>
      </c>
      <c r="D31" s="21" t="n">
        <f aca="false">IFERROR(C31/B31,0)</f>
        <v>0</v>
      </c>
    </row>
    <row r="32" customFormat="false" ht="15" hidden="false" customHeight="false" outlineLevel="0" collapsed="false">
      <c r="A32" s="18" t="s">
        <v>119</v>
      </c>
      <c r="B32" s="18" t="n">
        <f aca="false">COUNTIF('Problem Tracker'!G2:G181,A32)</f>
        <v>4</v>
      </c>
      <c r="C32" s="18" t="n">
        <f aca="false">COUNTIFS('Problem Tracker'!G2:G181,A32,'Problem Tracker'!L2:L181,"Solved")</f>
        <v>0</v>
      </c>
      <c r="D32" s="21" t="n">
        <f aca="false">IFERROR(C32/B32,0)</f>
        <v>0</v>
      </c>
    </row>
    <row r="34" customFormat="false" ht="15" hidden="false" customHeight="false" outlineLevel="0" collapsed="false">
      <c r="A34" s="15" t="s">
        <v>13</v>
      </c>
    </row>
    <row r="35" customFormat="false" ht="15" hidden="false" customHeight="false" outlineLevel="0" collapsed="false">
      <c r="A35" s="12" t="s">
        <v>34</v>
      </c>
      <c r="B35" s="12" t="s">
        <v>330</v>
      </c>
      <c r="C35" s="12" t="s">
        <v>324</v>
      </c>
      <c r="D35" s="12" t="s">
        <v>325</v>
      </c>
    </row>
    <row r="36" customFormat="false" ht="15" hidden="false" customHeight="false" outlineLevel="0" collapsed="false">
      <c r="A36" s="18" t="s">
        <v>47</v>
      </c>
      <c r="B36" s="18" t="n">
        <f aca="false">COUNTIF('Problem Tracker'!H2:H181,A36)</f>
        <v>173</v>
      </c>
      <c r="C36" s="18" t="n">
        <f aca="false">COUNTIFS('Problem Tracker'!H2:H181,A36,'Problem Tracker'!L2:L181,"Solved")</f>
        <v>0</v>
      </c>
      <c r="D36" s="21" t="n">
        <f aca="false">IFERROR(C36/B36,0)</f>
        <v>0</v>
      </c>
    </row>
    <row r="37" customFormat="false" ht="15" hidden="false" customHeight="false" outlineLevel="0" collapsed="false">
      <c r="A37" s="18" t="s">
        <v>106</v>
      </c>
      <c r="B37" s="18" t="n">
        <f aca="false">COUNTIF('Problem Tracker'!H2:H181,A37)</f>
        <v>7</v>
      </c>
      <c r="C37" s="18" t="n">
        <f aca="false">COUNTIFS('Problem Tracker'!H2:H181,A37,'Problem Tracker'!L2:L181,"Solved")</f>
        <v>0</v>
      </c>
      <c r="D37" s="21" t="n">
        <f aca="false">IFERROR(C37/B37,0)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5" min="4" style="0" width="34"/>
    <col collapsed="false" customWidth="true" hidden="false" outlineLevel="0" max="7" min="6" style="0" width="38"/>
    <col collapsed="false" customWidth="true" hidden="false" outlineLevel="0" max="8" min="8" style="0" width="13"/>
    <col collapsed="false" customWidth="true" hidden="false" outlineLevel="0" max="9" min="9" style="0" width="11"/>
  </cols>
  <sheetData>
    <row r="1" customFormat="false" ht="23.85" hidden="false" customHeight="false" outlineLevel="0" collapsed="false">
      <c r="A1" s="12" t="s">
        <v>332</v>
      </c>
      <c r="B1" s="12" t="s">
        <v>31</v>
      </c>
      <c r="C1" s="12" t="s">
        <v>30</v>
      </c>
      <c r="D1" s="12" t="s">
        <v>333</v>
      </c>
      <c r="E1" s="12" t="s">
        <v>334</v>
      </c>
      <c r="F1" s="12" t="s">
        <v>335</v>
      </c>
      <c r="G1" s="12" t="s">
        <v>336</v>
      </c>
      <c r="H1" s="12" t="s">
        <v>337</v>
      </c>
      <c r="I1" s="12" t="s">
        <v>338</v>
      </c>
      <c r="K1" s="17" t="s">
        <v>339</v>
      </c>
    </row>
    <row r="2" customFormat="false" ht="23.85" hidden="false" customHeight="false" outlineLevel="0" collapsed="false">
      <c r="A2" s="22" t="n">
        <v>46326</v>
      </c>
      <c r="B2" s="23" t="s">
        <v>340</v>
      </c>
      <c r="C2" s="23" t="s">
        <v>43</v>
      </c>
      <c r="D2" s="23" t="s">
        <v>341</v>
      </c>
      <c r="E2" s="23" t="s">
        <v>342</v>
      </c>
      <c r="F2" s="23" t="s">
        <v>343</v>
      </c>
      <c r="G2" s="23" t="s">
        <v>344</v>
      </c>
      <c r="H2" s="22" t="n">
        <v>46330</v>
      </c>
      <c r="I2" s="23" t="s">
        <v>345</v>
      </c>
    </row>
    <row r="3" customFormat="false" ht="15" hidden="false" customHeight="false" outlineLevel="0" collapsed="false">
      <c r="A3" s="24"/>
      <c r="B3" s="25"/>
      <c r="C3" s="25"/>
      <c r="D3" s="25"/>
      <c r="E3" s="25"/>
      <c r="F3" s="25"/>
      <c r="G3" s="25"/>
      <c r="H3" s="24"/>
      <c r="I3" s="25"/>
    </row>
    <row r="4" customFormat="false" ht="15" hidden="false" customHeight="false" outlineLevel="0" collapsed="false">
      <c r="A4" s="24"/>
      <c r="B4" s="25"/>
      <c r="C4" s="25"/>
      <c r="D4" s="25"/>
      <c r="E4" s="25"/>
      <c r="F4" s="25"/>
      <c r="G4" s="25"/>
      <c r="H4" s="24"/>
      <c r="I4" s="25"/>
    </row>
    <row r="5" customFormat="false" ht="15" hidden="false" customHeight="false" outlineLevel="0" collapsed="false">
      <c r="A5" s="24"/>
      <c r="B5" s="25"/>
      <c r="C5" s="25"/>
      <c r="D5" s="25"/>
      <c r="E5" s="25"/>
      <c r="F5" s="25"/>
      <c r="G5" s="25"/>
      <c r="H5" s="24"/>
      <c r="I5" s="25"/>
    </row>
    <row r="6" customFormat="false" ht="15" hidden="false" customHeight="false" outlineLevel="0" collapsed="false">
      <c r="A6" s="24"/>
      <c r="B6" s="25"/>
      <c r="C6" s="25"/>
      <c r="D6" s="25"/>
      <c r="E6" s="25"/>
      <c r="F6" s="25"/>
      <c r="G6" s="25"/>
      <c r="H6" s="24"/>
      <c r="I6" s="25"/>
    </row>
    <row r="7" customFormat="false" ht="15" hidden="false" customHeight="false" outlineLevel="0" collapsed="false">
      <c r="A7" s="24"/>
      <c r="B7" s="25"/>
      <c r="C7" s="25"/>
      <c r="D7" s="25"/>
      <c r="E7" s="25"/>
      <c r="F7" s="25"/>
      <c r="G7" s="25"/>
      <c r="H7" s="24"/>
      <c r="I7" s="25"/>
    </row>
    <row r="8" customFormat="false" ht="15" hidden="false" customHeight="false" outlineLevel="0" collapsed="false">
      <c r="A8" s="24"/>
      <c r="B8" s="25"/>
      <c r="C8" s="25"/>
      <c r="D8" s="25"/>
      <c r="E8" s="25"/>
      <c r="F8" s="25"/>
      <c r="G8" s="25"/>
      <c r="H8" s="24"/>
      <c r="I8" s="25"/>
    </row>
    <row r="9" customFormat="false" ht="15" hidden="false" customHeight="false" outlineLevel="0" collapsed="false">
      <c r="A9" s="24"/>
      <c r="B9" s="25"/>
      <c r="C9" s="25"/>
      <c r="D9" s="25"/>
      <c r="E9" s="25"/>
      <c r="F9" s="25"/>
      <c r="G9" s="25"/>
      <c r="H9" s="24"/>
      <c r="I9" s="25"/>
    </row>
    <row r="10" customFormat="false" ht="15" hidden="false" customHeight="false" outlineLevel="0" collapsed="false">
      <c r="A10" s="24"/>
      <c r="B10" s="25"/>
      <c r="C10" s="25"/>
      <c r="D10" s="25"/>
      <c r="E10" s="25"/>
      <c r="F10" s="25"/>
      <c r="G10" s="25"/>
      <c r="H10" s="24"/>
      <c r="I10" s="25"/>
    </row>
    <row r="11" customFormat="false" ht="15" hidden="false" customHeight="false" outlineLevel="0" collapsed="false">
      <c r="A11" s="24"/>
      <c r="B11" s="25"/>
      <c r="C11" s="25"/>
      <c r="D11" s="25"/>
      <c r="E11" s="25"/>
      <c r="F11" s="25"/>
      <c r="G11" s="25"/>
      <c r="H11" s="24"/>
      <c r="I11" s="25"/>
    </row>
    <row r="12" customFormat="false" ht="15" hidden="false" customHeight="false" outlineLevel="0" collapsed="false">
      <c r="A12" s="24"/>
      <c r="B12" s="25"/>
      <c r="C12" s="25"/>
      <c r="D12" s="25"/>
      <c r="E12" s="25"/>
      <c r="F12" s="25"/>
      <c r="G12" s="25"/>
      <c r="H12" s="24"/>
      <c r="I12" s="25"/>
    </row>
    <row r="13" customFormat="false" ht="15" hidden="false" customHeight="false" outlineLevel="0" collapsed="false">
      <c r="A13" s="24"/>
      <c r="B13" s="25"/>
      <c r="C13" s="25"/>
      <c r="D13" s="25"/>
      <c r="E13" s="25"/>
      <c r="F13" s="25"/>
      <c r="G13" s="25"/>
      <c r="H13" s="24"/>
      <c r="I13" s="25"/>
    </row>
    <row r="14" customFormat="false" ht="15" hidden="false" customHeight="false" outlineLevel="0" collapsed="false">
      <c r="A14" s="24"/>
      <c r="B14" s="25"/>
      <c r="C14" s="25"/>
      <c r="D14" s="25"/>
      <c r="E14" s="25"/>
      <c r="F14" s="25"/>
      <c r="G14" s="25"/>
      <c r="H14" s="24"/>
      <c r="I14" s="25"/>
    </row>
    <row r="15" customFormat="false" ht="15" hidden="false" customHeight="false" outlineLevel="0" collapsed="false">
      <c r="A15" s="24"/>
      <c r="B15" s="25"/>
      <c r="C15" s="25"/>
      <c r="D15" s="25"/>
      <c r="E15" s="25"/>
      <c r="F15" s="25"/>
      <c r="G15" s="25"/>
      <c r="H15" s="24"/>
      <c r="I15" s="25"/>
    </row>
    <row r="16" customFormat="false" ht="15" hidden="false" customHeight="false" outlineLevel="0" collapsed="false">
      <c r="A16" s="24"/>
      <c r="B16" s="25"/>
      <c r="C16" s="25"/>
      <c r="D16" s="25"/>
      <c r="E16" s="25"/>
      <c r="F16" s="25"/>
      <c r="G16" s="25"/>
      <c r="H16" s="24"/>
      <c r="I16" s="25"/>
    </row>
    <row r="17" customFormat="false" ht="15" hidden="false" customHeight="false" outlineLevel="0" collapsed="false">
      <c r="A17" s="24"/>
      <c r="B17" s="25"/>
      <c r="C17" s="25"/>
      <c r="D17" s="25"/>
      <c r="E17" s="25"/>
      <c r="F17" s="25"/>
      <c r="G17" s="25"/>
      <c r="H17" s="24"/>
      <c r="I17" s="25"/>
    </row>
    <row r="18" customFormat="false" ht="15" hidden="false" customHeight="false" outlineLevel="0" collapsed="false">
      <c r="A18" s="24"/>
      <c r="B18" s="25"/>
      <c r="C18" s="25"/>
      <c r="D18" s="25"/>
      <c r="E18" s="25"/>
      <c r="F18" s="25"/>
      <c r="G18" s="25"/>
      <c r="H18" s="24"/>
      <c r="I18" s="25"/>
    </row>
    <row r="19" customFormat="false" ht="15" hidden="false" customHeight="false" outlineLevel="0" collapsed="false">
      <c r="A19" s="24"/>
      <c r="B19" s="25"/>
      <c r="C19" s="25"/>
      <c r="D19" s="25"/>
      <c r="E19" s="25"/>
      <c r="F19" s="25"/>
      <c r="G19" s="25"/>
      <c r="H19" s="24"/>
      <c r="I19" s="25"/>
    </row>
    <row r="20" customFormat="false" ht="15" hidden="false" customHeight="false" outlineLevel="0" collapsed="false">
      <c r="A20" s="24"/>
      <c r="B20" s="25"/>
      <c r="C20" s="25"/>
      <c r="D20" s="25"/>
      <c r="E20" s="25"/>
      <c r="F20" s="25"/>
      <c r="G20" s="25"/>
      <c r="H20" s="24"/>
      <c r="I20" s="25"/>
    </row>
    <row r="21" customFormat="false" ht="15" hidden="false" customHeight="false" outlineLevel="0" collapsed="false">
      <c r="A21" s="24"/>
      <c r="B21" s="25"/>
      <c r="C21" s="25"/>
      <c r="D21" s="25"/>
      <c r="E21" s="25"/>
      <c r="F21" s="25"/>
      <c r="G21" s="25"/>
      <c r="H21" s="24"/>
      <c r="I21" s="25"/>
    </row>
    <row r="22" customFormat="false" ht="15" hidden="false" customHeight="false" outlineLevel="0" collapsed="false">
      <c r="A22" s="24"/>
      <c r="B22" s="25"/>
      <c r="C22" s="25"/>
      <c r="D22" s="25"/>
      <c r="E22" s="25"/>
      <c r="F22" s="25"/>
      <c r="G22" s="25"/>
      <c r="H22" s="24"/>
      <c r="I22" s="25"/>
    </row>
    <row r="23" customFormat="false" ht="15" hidden="false" customHeight="false" outlineLevel="0" collapsed="false">
      <c r="A23" s="24"/>
      <c r="B23" s="25"/>
      <c r="C23" s="25"/>
      <c r="D23" s="25"/>
      <c r="E23" s="25"/>
      <c r="F23" s="25"/>
      <c r="G23" s="25"/>
      <c r="H23" s="24"/>
      <c r="I23" s="25"/>
    </row>
    <row r="24" customFormat="false" ht="15" hidden="false" customHeight="false" outlineLevel="0" collapsed="false">
      <c r="A24" s="24"/>
      <c r="B24" s="25"/>
      <c r="C24" s="25"/>
      <c r="D24" s="25"/>
      <c r="E24" s="25"/>
      <c r="F24" s="25"/>
      <c r="G24" s="25"/>
      <c r="H24" s="24"/>
      <c r="I24" s="25"/>
    </row>
    <row r="25" customFormat="false" ht="15" hidden="false" customHeight="false" outlineLevel="0" collapsed="false">
      <c r="A25" s="24"/>
      <c r="B25" s="25"/>
      <c r="C25" s="25"/>
      <c r="D25" s="25"/>
      <c r="E25" s="25"/>
      <c r="F25" s="25"/>
      <c r="G25" s="25"/>
      <c r="H25" s="24"/>
      <c r="I25" s="25"/>
    </row>
    <row r="26" customFormat="false" ht="15" hidden="false" customHeight="false" outlineLevel="0" collapsed="false">
      <c r="A26" s="24"/>
      <c r="B26" s="25"/>
      <c r="C26" s="25"/>
      <c r="D26" s="25"/>
      <c r="E26" s="25"/>
      <c r="F26" s="25"/>
      <c r="G26" s="25"/>
      <c r="H26" s="24"/>
      <c r="I26" s="25"/>
    </row>
    <row r="27" customFormat="false" ht="15" hidden="false" customHeight="false" outlineLevel="0" collapsed="false">
      <c r="A27" s="24"/>
      <c r="B27" s="25"/>
      <c r="C27" s="25"/>
      <c r="D27" s="25"/>
      <c r="E27" s="25"/>
      <c r="F27" s="25"/>
      <c r="G27" s="25"/>
      <c r="H27" s="24"/>
      <c r="I27" s="25"/>
    </row>
    <row r="28" customFormat="false" ht="15" hidden="false" customHeight="false" outlineLevel="0" collapsed="false">
      <c r="A28" s="24"/>
      <c r="B28" s="25"/>
      <c r="C28" s="25"/>
      <c r="D28" s="25"/>
      <c r="E28" s="25"/>
      <c r="F28" s="25"/>
      <c r="G28" s="25"/>
      <c r="H28" s="24"/>
      <c r="I28" s="25"/>
    </row>
    <row r="29" customFormat="false" ht="15" hidden="false" customHeight="false" outlineLevel="0" collapsed="false">
      <c r="A29" s="24"/>
      <c r="B29" s="25"/>
      <c r="C29" s="25"/>
      <c r="D29" s="25"/>
      <c r="E29" s="25"/>
      <c r="F29" s="25"/>
      <c r="G29" s="25"/>
      <c r="H29" s="24"/>
      <c r="I29" s="25"/>
    </row>
    <row r="30" customFormat="false" ht="15" hidden="false" customHeight="false" outlineLevel="0" collapsed="false">
      <c r="A30" s="24"/>
      <c r="B30" s="25"/>
      <c r="C30" s="25"/>
      <c r="D30" s="25"/>
      <c r="E30" s="25"/>
      <c r="F30" s="25"/>
      <c r="G30" s="25"/>
      <c r="H30" s="24"/>
      <c r="I30" s="25"/>
    </row>
    <row r="31" customFormat="false" ht="15" hidden="false" customHeight="false" outlineLevel="0" collapsed="false">
      <c r="A31" s="24"/>
      <c r="B31" s="25"/>
      <c r="C31" s="25"/>
      <c r="D31" s="25"/>
      <c r="E31" s="25"/>
      <c r="F31" s="25"/>
      <c r="G31" s="25"/>
      <c r="H31" s="24"/>
      <c r="I31" s="25"/>
    </row>
    <row r="32" customFormat="false" ht="15" hidden="false" customHeight="false" outlineLevel="0" collapsed="false">
      <c r="A32" s="24"/>
      <c r="B32" s="25"/>
      <c r="C32" s="25"/>
      <c r="D32" s="25"/>
      <c r="E32" s="25"/>
      <c r="F32" s="25"/>
      <c r="G32" s="25"/>
      <c r="H32" s="24"/>
      <c r="I32" s="25"/>
    </row>
    <row r="33" customFormat="false" ht="15" hidden="false" customHeight="false" outlineLevel="0" collapsed="false">
      <c r="A33" s="24"/>
      <c r="B33" s="25"/>
      <c r="C33" s="25"/>
      <c r="D33" s="25"/>
      <c r="E33" s="25"/>
      <c r="F33" s="25"/>
      <c r="G33" s="25"/>
      <c r="H33" s="24"/>
      <c r="I33" s="25"/>
    </row>
    <row r="34" customFormat="false" ht="15" hidden="false" customHeight="false" outlineLevel="0" collapsed="false">
      <c r="A34" s="24"/>
      <c r="B34" s="25"/>
      <c r="C34" s="25"/>
      <c r="D34" s="25"/>
      <c r="E34" s="25"/>
      <c r="F34" s="25"/>
      <c r="G34" s="25"/>
      <c r="H34" s="24"/>
      <c r="I34" s="25"/>
    </row>
    <row r="35" customFormat="false" ht="15" hidden="false" customHeight="false" outlineLevel="0" collapsed="false">
      <c r="A35" s="24"/>
      <c r="B35" s="25"/>
      <c r="C35" s="25"/>
      <c r="D35" s="25"/>
      <c r="E35" s="25"/>
      <c r="F35" s="25"/>
      <c r="G35" s="25"/>
      <c r="H35" s="24"/>
      <c r="I35" s="25"/>
    </row>
    <row r="36" customFormat="false" ht="15" hidden="false" customHeight="false" outlineLevel="0" collapsed="false">
      <c r="A36" s="24"/>
      <c r="B36" s="25"/>
      <c r="C36" s="25"/>
      <c r="D36" s="25"/>
      <c r="E36" s="25"/>
      <c r="F36" s="25"/>
      <c r="G36" s="25"/>
      <c r="H36" s="24"/>
      <c r="I36" s="25"/>
    </row>
    <row r="37" customFormat="false" ht="15" hidden="false" customHeight="false" outlineLevel="0" collapsed="false">
      <c r="A37" s="24"/>
      <c r="B37" s="25"/>
      <c r="C37" s="25"/>
      <c r="D37" s="25"/>
      <c r="E37" s="25"/>
      <c r="F37" s="25"/>
      <c r="G37" s="25"/>
      <c r="H37" s="24"/>
      <c r="I37" s="25"/>
    </row>
    <row r="38" customFormat="false" ht="15" hidden="false" customHeight="false" outlineLevel="0" collapsed="false">
      <c r="A38" s="24"/>
      <c r="B38" s="25"/>
      <c r="C38" s="25"/>
      <c r="D38" s="25"/>
      <c r="E38" s="25"/>
      <c r="F38" s="25"/>
      <c r="G38" s="25"/>
      <c r="H38" s="24"/>
      <c r="I38" s="25"/>
    </row>
    <row r="39" customFormat="false" ht="15" hidden="false" customHeight="false" outlineLevel="0" collapsed="false">
      <c r="A39" s="24"/>
      <c r="B39" s="25"/>
      <c r="C39" s="25"/>
      <c r="D39" s="25"/>
      <c r="E39" s="25"/>
      <c r="F39" s="25"/>
      <c r="G39" s="25"/>
      <c r="H39" s="24"/>
      <c r="I39" s="25"/>
    </row>
    <row r="40" customFormat="false" ht="15" hidden="false" customHeight="false" outlineLevel="0" collapsed="false">
      <c r="A40" s="24"/>
      <c r="B40" s="25"/>
      <c r="C40" s="25"/>
      <c r="D40" s="25"/>
      <c r="E40" s="25"/>
      <c r="F40" s="25"/>
      <c r="G40" s="25"/>
      <c r="H40" s="24"/>
      <c r="I40" s="25"/>
    </row>
    <row r="41" customFormat="false" ht="15" hidden="false" customHeight="false" outlineLevel="0" collapsed="false">
      <c r="A41" s="24"/>
      <c r="B41" s="25"/>
      <c r="C41" s="25"/>
      <c r="D41" s="25"/>
      <c r="E41" s="25"/>
      <c r="F41" s="25"/>
      <c r="G41" s="25"/>
      <c r="H41" s="24"/>
      <c r="I41" s="25"/>
    </row>
    <row r="42" customFormat="false" ht="15" hidden="false" customHeight="false" outlineLevel="0" collapsed="false">
      <c r="A42" s="24"/>
      <c r="B42" s="25"/>
      <c r="C42" s="25"/>
      <c r="D42" s="25"/>
      <c r="E42" s="25"/>
      <c r="F42" s="25"/>
      <c r="G42" s="25"/>
      <c r="H42" s="24"/>
      <c r="I42" s="25"/>
    </row>
    <row r="43" customFormat="false" ht="15" hidden="false" customHeight="false" outlineLevel="0" collapsed="false">
      <c r="A43" s="24"/>
      <c r="B43" s="25"/>
      <c r="C43" s="25"/>
      <c r="D43" s="25"/>
      <c r="E43" s="25"/>
      <c r="F43" s="25"/>
      <c r="G43" s="25"/>
      <c r="H43" s="24"/>
      <c r="I43" s="25"/>
    </row>
    <row r="44" customFormat="false" ht="15" hidden="false" customHeight="false" outlineLevel="0" collapsed="false">
      <c r="A44" s="24"/>
      <c r="B44" s="25"/>
      <c r="C44" s="25"/>
      <c r="D44" s="25"/>
      <c r="E44" s="25"/>
      <c r="F44" s="25"/>
      <c r="G44" s="25"/>
      <c r="H44" s="24"/>
      <c r="I44" s="25"/>
    </row>
    <row r="45" customFormat="false" ht="15" hidden="false" customHeight="false" outlineLevel="0" collapsed="false">
      <c r="A45" s="24"/>
      <c r="B45" s="25"/>
      <c r="C45" s="25"/>
      <c r="D45" s="25"/>
      <c r="E45" s="25"/>
      <c r="F45" s="25"/>
      <c r="G45" s="25"/>
      <c r="H45" s="24"/>
      <c r="I45" s="25"/>
    </row>
    <row r="46" customFormat="false" ht="15" hidden="false" customHeight="false" outlineLevel="0" collapsed="false">
      <c r="A46" s="24"/>
      <c r="B46" s="25"/>
      <c r="C46" s="25"/>
      <c r="D46" s="25"/>
      <c r="E46" s="25"/>
      <c r="F46" s="25"/>
      <c r="G46" s="25"/>
      <c r="H46" s="24"/>
      <c r="I46" s="25"/>
    </row>
    <row r="47" customFormat="false" ht="15" hidden="false" customHeight="false" outlineLevel="0" collapsed="false">
      <c r="A47" s="24"/>
      <c r="B47" s="25"/>
      <c r="C47" s="25"/>
      <c r="D47" s="25"/>
      <c r="E47" s="25"/>
      <c r="F47" s="25"/>
      <c r="G47" s="25"/>
      <c r="H47" s="24"/>
      <c r="I47" s="25"/>
    </row>
    <row r="48" customFormat="false" ht="15" hidden="false" customHeight="false" outlineLevel="0" collapsed="false">
      <c r="A48" s="24"/>
      <c r="B48" s="25"/>
      <c r="C48" s="25"/>
      <c r="D48" s="25"/>
      <c r="E48" s="25"/>
      <c r="F48" s="25"/>
      <c r="G48" s="25"/>
      <c r="H48" s="24"/>
      <c r="I48" s="25"/>
    </row>
    <row r="49" customFormat="false" ht="15" hidden="false" customHeight="false" outlineLevel="0" collapsed="false">
      <c r="A49" s="24"/>
      <c r="B49" s="25"/>
      <c r="C49" s="25"/>
      <c r="D49" s="25"/>
      <c r="E49" s="25"/>
      <c r="F49" s="25"/>
      <c r="G49" s="25"/>
      <c r="H49" s="24"/>
      <c r="I49" s="25"/>
    </row>
    <row r="50" customFormat="false" ht="15" hidden="false" customHeight="false" outlineLevel="0" collapsed="false">
      <c r="A50" s="24"/>
      <c r="B50" s="25"/>
      <c r="C50" s="25"/>
      <c r="D50" s="25"/>
      <c r="E50" s="25"/>
      <c r="F50" s="25"/>
      <c r="G50" s="25"/>
      <c r="H50" s="24"/>
      <c r="I50" s="25"/>
    </row>
    <row r="51" customFormat="false" ht="15" hidden="false" customHeight="false" outlineLevel="0" collapsed="false">
      <c r="A51" s="24"/>
      <c r="B51" s="25"/>
      <c r="C51" s="25"/>
      <c r="D51" s="25"/>
      <c r="E51" s="25"/>
      <c r="F51" s="25"/>
      <c r="G51" s="25"/>
      <c r="H51" s="24"/>
      <c r="I51" s="25"/>
    </row>
    <row r="52" customFormat="false" ht="15" hidden="false" customHeight="false" outlineLevel="0" collapsed="false">
      <c r="A52" s="24"/>
      <c r="B52" s="25"/>
      <c r="C52" s="25"/>
      <c r="D52" s="25"/>
      <c r="E52" s="25"/>
      <c r="F52" s="25"/>
      <c r="G52" s="25"/>
      <c r="H52" s="24"/>
      <c r="I52" s="25"/>
    </row>
    <row r="53" customFormat="false" ht="15" hidden="false" customHeight="false" outlineLevel="0" collapsed="false">
      <c r="A53" s="24"/>
      <c r="B53" s="25"/>
      <c r="C53" s="25"/>
      <c r="D53" s="25"/>
      <c r="E53" s="25"/>
      <c r="F53" s="25"/>
      <c r="G53" s="25"/>
      <c r="H53" s="24"/>
      <c r="I53" s="25"/>
    </row>
    <row r="54" customFormat="false" ht="15" hidden="false" customHeight="false" outlineLevel="0" collapsed="false">
      <c r="A54" s="24"/>
      <c r="B54" s="25"/>
      <c r="C54" s="25"/>
      <c r="D54" s="25"/>
      <c r="E54" s="25"/>
      <c r="F54" s="25"/>
      <c r="G54" s="25"/>
      <c r="H54" s="24"/>
      <c r="I54" s="25"/>
    </row>
    <row r="55" customFormat="false" ht="15" hidden="false" customHeight="false" outlineLevel="0" collapsed="false">
      <c r="A55" s="24"/>
      <c r="B55" s="25"/>
      <c r="C55" s="25"/>
      <c r="D55" s="25"/>
      <c r="E55" s="25"/>
      <c r="F55" s="25"/>
      <c r="G55" s="25"/>
      <c r="H55" s="24"/>
      <c r="I55" s="25"/>
    </row>
    <row r="56" customFormat="false" ht="15" hidden="false" customHeight="false" outlineLevel="0" collapsed="false">
      <c r="A56" s="24"/>
      <c r="B56" s="25"/>
      <c r="C56" s="25"/>
      <c r="D56" s="25"/>
      <c r="E56" s="25"/>
      <c r="F56" s="25"/>
      <c r="G56" s="25"/>
      <c r="H56" s="24"/>
      <c r="I56" s="25"/>
    </row>
    <row r="57" customFormat="false" ht="15" hidden="false" customHeight="false" outlineLevel="0" collapsed="false">
      <c r="A57" s="24"/>
      <c r="B57" s="25"/>
      <c r="C57" s="25"/>
      <c r="D57" s="25"/>
      <c r="E57" s="25"/>
      <c r="F57" s="25"/>
      <c r="G57" s="25"/>
      <c r="H57" s="24"/>
      <c r="I57" s="25"/>
    </row>
    <row r="58" customFormat="false" ht="15" hidden="false" customHeight="false" outlineLevel="0" collapsed="false">
      <c r="A58" s="24"/>
      <c r="B58" s="25"/>
      <c r="C58" s="25"/>
      <c r="D58" s="25"/>
      <c r="E58" s="25"/>
      <c r="F58" s="25"/>
      <c r="G58" s="25"/>
      <c r="H58" s="24"/>
      <c r="I58" s="25"/>
    </row>
    <row r="59" customFormat="false" ht="15" hidden="false" customHeight="false" outlineLevel="0" collapsed="false">
      <c r="A59" s="24"/>
      <c r="B59" s="25"/>
      <c r="C59" s="25"/>
      <c r="D59" s="25"/>
      <c r="E59" s="25"/>
      <c r="F59" s="25"/>
      <c r="G59" s="25"/>
      <c r="H59" s="24"/>
      <c r="I59" s="25"/>
    </row>
    <row r="60" customFormat="false" ht="15" hidden="false" customHeight="false" outlineLevel="0" collapsed="false">
      <c r="A60" s="24"/>
      <c r="B60" s="25"/>
      <c r="C60" s="25"/>
      <c r="D60" s="25"/>
      <c r="E60" s="25"/>
      <c r="F60" s="25"/>
      <c r="G60" s="25"/>
      <c r="H60" s="24"/>
      <c r="I60" s="25"/>
    </row>
    <row r="61" customFormat="false" ht="15" hidden="false" customHeight="false" outlineLevel="0" collapsed="false">
      <c r="A61" s="24"/>
      <c r="B61" s="25"/>
      <c r="C61" s="25"/>
      <c r="D61" s="25"/>
      <c r="E61" s="25"/>
      <c r="F61" s="25"/>
      <c r="G61" s="25"/>
      <c r="H61" s="24"/>
      <c r="I61" s="25"/>
    </row>
    <row r="62" customFormat="false" ht="15" hidden="false" customHeight="false" outlineLevel="0" collapsed="false">
      <c r="A62" s="24"/>
      <c r="B62" s="25"/>
      <c r="C62" s="25"/>
      <c r="D62" s="25"/>
      <c r="E62" s="25"/>
      <c r="F62" s="25"/>
      <c r="G62" s="25"/>
      <c r="H62" s="24"/>
      <c r="I62" s="25"/>
    </row>
    <row r="63" customFormat="false" ht="15" hidden="false" customHeight="false" outlineLevel="0" collapsed="false">
      <c r="A63" s="24"/>
      <c r="B63" s="25"/>
      <c r="C63" s="25"/>
      <c r="D63" s="25"/>
      <c r="E63" s="25"/>
      <c r="F63" s="25"/>
      <c r="G63" s="25"/>
      <c r="H63" s="24"/>
      <c r="I63" s="25"/>
    </row>
    <row r="64" customFormat="false" ht="15" hidden="false" customHeight="false" outlineLevel="0" collapsed="false">
      <c r="A64" s="24"/>
      <c r="B64" s="25"/>
      <c r="C64" s="25"/>
      <c r="D64" s="25"/>
      <c r="E64" s="25"/>
      <c r="F64" s="25"/>
      <c r="G64" s="25"/>
      <c r="H64" s="24"/>
      <c r="I64" s="25"/>
    </row>
    <row r="65" customFormat="false" ht="15" hidden="false" customHeight="false" outlineLevel="0" collapsed="false">
      <c r="A65" s="24"/>
      <c r="B65" s="25"/>
      <c r="C65" s="25"/>
      <c r="D65" s="25"/>
      <c r="E65" s="25"/>
      <c r="F65" s="25"/>
      <c r="G65" s="25"/>
      <c r="H65" s="24"/>
      <c r="I65" s="25"/>
    </row>
    <row r="66" customFormat="false" ht="15" hidden="false" customHeight="false" outlineLevel="0" collapsed="false">
      <c r="A66" s="24"/>
      <c r="B66" s="25"/>
      <c r="C66" s="25"/>
      <c r="D66" s="25"/>
      <c r="E66" s="25"/>
      <c r="F66" s="25"/>
      <c r="G66" s="25"/>
      <c r="H66" s="24"/>
      <c r="I66" s="25"/>
    </row>
    <row r="67" customFormat="false" ht="15" hidden="false" customHeight="false" outlineLevel="0" collapsed="false">
      <c r="A67" s="24"/>
      <c r="B67" s="25"/>
      <c r="C67" s="25"/>
      <c r="D67" s="25"/>
      <c r="E67" s="25"/>
      <c r="F67" s="25"/>
      <c r="G67" s="25"/>
      <c r="H67" s="24"/>
      <c r="I67" s="25"/>
    </row>
    <row r="68" customFormat="false" ht="15" hidden="false" customHeight="false" outlineLevel="0" collapsed="false">
      <c r="A68" s="24"/>
      <c r="B68" s="25"/>
      <c r="C68" s="25"/>
      <c r="D68" s="25"/>
      <c r="E68" s="25"/>
      <c r="F68" s="25"/>
      <c r="G68" s="25"/>
      <c r="H68" s="24"/>
      <c r="I68" s="25"/>
    </row>
    <row r="69" customFormat="false" ht="15" hidden="false" customHeight="false" outlineLevel="0" collapsed="false">
      <c r="A69" s="24"/>
      <c r="B69" s="25"/>
      <c r="C69" s="25"/>
      <c r="D69" s="25"/>
      <c r="E69" s="25"/>
      <c r="F69" s="25"/>
      <c r="G69" s="25"/>
      <c r="H69" s="24"/>
      <c r="I69" s="25"/>
    </row>
    <row r="70" customFormat="false" ht="15" hidden="false" customHeight="false" outlineLevel="0" collapsed="false">
      <c r="A70" s="24"/>
      <c r="B70" s="25"/>
      <c r="C70" s="25"/>
      <c r="D70" s="25"/>
      <c r="E70" s="25"/>
      <c r="F70" s="25"/>
      <c r="G70" s="25"/>
      <c r="H70" s="24"/>
      <c r="I70" s="25"/>
    </row>
    <row r="71" customFormat="false" ht="15" hidden="false" customHeight="false" outlineLevel="0" collapsed="false">
      <c r="A71" s="24"/>
      <c r="B71" s="25"/>
      <c r="C71" s="25"/>
      <c r="D71" s="25"/>
      <c r="E71" s="25"/>
      <c r="F71" s="25"/>
      <c r="G71" s="25"/>
      <c r="H71" s="24"/>
      <c r="I71" s="25"/>
    </row>
    <row r="72" customFormat="false" ht="15" hidden="false" customHeight="false" outlineLevel="0" collapsed="false">
      <c r="A72" s="24"/>
      <c r="B72" s="25"/>
      <c r="C72" s="25"/>
      <c r="D72" s="25"/>
      <c r="E72" s="25"/>
      <c r="F72" s="25"/>
      <c r="G72" s="25"/>
      <c r="H72" s="24"/>
      <c r="I72" s="25"/>
    </row>
    <row r="73" customFormat="false" ht="15" hidden="false" customHeight="false" outlineLevel="0" collapsed="false">
      <c r="A73" s="24"/>
      <c r="B73" s="25"/>
      <c r="C73" s="25"/>
      <c r="D73" s="25"/>
      <c r="E73" s="25"/>
      <c r="F73" s="25"/>
      <c r="G73" s="25"/>
      <c r="H73" s="24"/>
      <c r="I73" s="25"/>
    </row>
    <row r="74" customFormat="false" ht="15" hidden="false" customHeight="false" outlineLevel="0" collapsed="false">
      <c r="A74" s="24"/>
      <c r="B74" s="25"/>
      <c r="C74" s="25"/>
      <c r="D74" s="25"/>
      <c r="E74" s="25"/>
      <c r="F74" s="25"/>
      <c r="G74" s="25"/>
      <c r="H74" s="24"/>
      <c r="I74" s="25"/>
    </row>
    <row r="75" customFormat="false" ht="15" hidden="false" customHeight="false" outlineLevel="0" collapsed="false">
      <c r="A75" s="24"/>
      <c r="B75" s="25"/>
      <c r="C75" s="25"/>
      <c r="D75" s="25"/>
      <c r="E75" s="25"/>
      <c r="F75" s="25"/>
      <c r="G75" s="25"/>
      <c r="H75" s="24"/>
      <c r="I75" s="25"/>
    </row>
    <row r="76" customFormat="false" ht="15" hidden="false" customHeight="false" outlineLevel="0" collapsed="false">
      <c r="A76" s="24"/>
      <c r="B76" s="25"/>
      <c r="C76" s="25"/>
      <c r="D76" s="25"/>
      <c r="E76" s="25"/>
      <c r="F76" s="25"/>
      <c r="G76" s="25"/>
      <c r="H76" s="24"/>
      <c r="I76" s="25"/>
    </row>
    <row r="77" customFormat="false" ht="15" hidden="false" customHeight="false" outlineLevel="0" collapsed="false">
      <c r="A77" s="24"/>
      <c r="B77" s="25"/>
      <c r="C77" s="25"/>
      <c r="D77" s="25"/>
      <c r="E77" s="25"/>
      <c r="F77" s="25"/>
      <c r="G77" s="25"/>
      <c r="H77" s="24"/>
      <c r="I77" s="25"/>
    </row>
    <row r="78" customFormat="false" ht="15" hidden="false" customHeight="false" outlineLevel="0" collapsed="false">
      <c r="A78" s="24"/>
      <c r="B78" s="25"/>
      <c r="C78" s="25"/>
      <c r="D78" s="25"/>
      <c r="E78" s="25"/>
      <c r="F78" s="25"/>
      <c r="G78" s="25"/>
      <c r="H78" s="24"/>
      <c r="I78" s="25"/>
    </row>
    <row r="79" customFormat="false" ht="15" hidden="false" customHeight="false" outlineLevel="0" collapsed="false">
      <c r="A79" s="24"/>
      <c r="B79" s="25"/>
      <c r="C79" s="25"/>
      <c r="D79" s="25"/>
      <c r="E79" s="25"/>
      <c r="F79" s="25"/>
      <c r="G79" s="25"/>
      <c r="H79" s="24"/>
      <c r="I79" s="25"/>
    </row>
    <row r="80" customFormat="false" ht="15" hidden="false" customHeight="false" outlineLevel="0" collapsed="false">
      <c r="A80" s="24"/>
      <c r="B80" s="25"/>
      <c r="C80" s="25"/>
      <c r="D80" s="25"/>
      <c r="E80" s="25"/>
      <c r="F80" s="25"/>
      <c r="G80" s="25"/>
      <c r="H80" s="24"/>
      <c r="I80" s="25"/>
    </row>
    <row r="81" customFormat="false" ht="15" hidden="false" customHeight="false" outlineLevel="0" collapsed="false">
      <c r="A81" s="24"/>
      <c r="B81" s="25"/>
      <c r="C81" s="25"/>
      <c r="D81" s="25"/>
      <c r="E81" s="25"/>
      <c r="F81" s="25"/>
      <c r="G81" s="25"/>
      <c r="H81" s="24"/>
      <c r="I81" s="25"/>
    </row>
    <row r="82" customFormat="false" ht="15" hidden="false" customHeight="false" outlineLevel="0" collapsed="false">
      <c r="A82" s="24"/>
      <c r="B82" s="25"/>
      <c r="C82" s="25"/>
      <c r="D82" s="25"/>
      <c r="E82" s="25"/>
      <c r="F82" s="25"/>
      <c r="G82" s="25"/>
      <c r="H82" s="24"/>
      <c r="I82" s="25"/>
    </row>
    <row r="83" customFormat="false" ht="15" hidden="false" customHeight="false" outlineLevel="0" collapsed="false">
      <c r="A83" s="24"/>
      <c r="B83" s="25"/>
      <c r="C83" s="25"/>
      <c r="D83" s="25"/>
      <c r="E83" s="25"/>
      <c r="F83" s="25"/>
      <c r="G83" s="25"/>
      <c r="H83" s="24"/>
      <c r="I83" s="25"/>
    </row>
    <row r="84" customFormat="false" ht="15" hidden="false" customHeight="false" outlineLevel="0" collapsed="false">
      <c r="A84" s="24"/>
      <c r="B84" s="25"/>
      <c r="C84" s="25"/>
      <c r="D84" s="25"/>
      <c r="E84" s="25"/>
      <c r="F84" s="25"/>
      <c r="G84" s="25"/>
      <c r="H84" s="24"/>
      <c r="I84" s="25"/>
    </row>
    <row r="85" customFormat="false" ht="15" hidden="false" customHeight="false" outlineLevel="0" collapsed="false">
      <c r="A85" s="24"/>
      <c r="B85" s="25"/>
      <c r="C85" s="25"/>
      <c r="D85" s="25"/>
      <c r="E85" s="25"/>
      <c r="F85" s="25"/>
      <c r="G85" s="25"/>
      <c r="H85" s="24"/>
      <c r="I85" s="25"/>
    </row>
    <row r="86" customFormat="false" ht="15" hidden="false" customHeight="false" outlineLevel="0" collapsed="false">
      <c r="A86" s="24"/>
      <c r="B86" s="25"/>
      <c r="C86" s="25"/>
      <c r="D86" s="25"/>
      <c r="E86" s="25"/>
      <c r="F86" s="25"/>
      <c r="G86" s="25"/>
      <c r="H86" s="24"/>
      <c r="I86" s="25"/>
    </row>
    <row r="87" customFormat="false" ht="15" hidden="false" customHeight="false" outlineLevel="0" collapsed="false">
      <c r="A87" s="24"/>
      <c r="B87" s="25"/>
      <c r="C87" s="25"/>
      <c r="D87" s="25"/>
      <c r="E87" s="25"/>
      <c r="F87" s="25"/>
      <c r="G87" s="25"/>
      <c r="H87" s="24"/>
      <c r="I87" s="25"/>
    </row>
    <row r="88" customFormat="false" ht="15" hidden="false" customHeight="false" outlineLevel="0" collapsed="false">
      <c r="A88" s="24"/>
      <c r="B88" s="25"/>
      <c r="C88" s="25"/>
      <c r="D88" s="25"/>
      <c r="E88" s="25"/>
      <c r="F88" s="25"/>
      <c r="G88" s="25"/>
      <c r="H88" s="24"/>
      <c r="I88" s="25"/>
    </row>
    <row r="89" customFormat="false" ht="15" hidden="false" customHeight="false" outlineLevel="0" collapsed="false">
      <c r="A89" s="24"/>
      <c r="B89" s="25"/>
      <c r="C89" s="25"/>
      <c r="D89" s="25"/>
      <c r="E89" s="25"/>
      <c r="F89" s="25"/>
      <c r="G89" s="25"/>
      <c r="H89" s="24"/>
      <c r="I89" s="25"/>
    </row>
    <row r="90" customFormat="false" ht="15" hidden="false" customHeight="false" outlineLevel="0" collapsed="false">
      <c r="A90" s="24"/>
      <c r="B90" s="25"/>
      <c r="C90" s="25"/>
      <c r="D90" s="25"/>
      <c r="E90" s="25"/>
      <c r="F90" s="25"/>
      <c r="G90" s="25"/>
      <c r="H90" s="24"/>
      <c r="I90" s="25"/>
    </row>
    <row r="91" customFormat="false" ht="15" hidden="false" customHeight="false" outlineLevel="0" collapsed="false">
      <c r="A91" s="24"/>
      <c r="B91" s="25"/>
      <c r="C91" s="25"/>
      <c r="D91" s="25"/>
      <c r="E91" s="25"/>
      <c r="F91" s="25"/>
      <c r="G91" s="25"/>
      <c r="H91" s="24"/>
      <c r="I91" s="25"/>
    </row>
    <row r="92" customFormat="false" ht="15" hidden="false" customHeight="false" outlineLevel="0" collapsed="false">
      <c r="A92" s="24"/>
      <c r="B92" s="25"/>
      <c r="C92" s="25"/>
      <c r="D92" s="25"/>
      <c r="E92" s="25"/>
      <c r="F92" s="25"/>
      <c r="G92" s="25"/>
      <c r="H92" s="24"/>
      <c r="I92" s="25"/>
    </row>
    <row r="93" customFormat="false" ht="15" hidden="false" customHeight="false" outlineLevel="0" collapsed="false">
      <c r="A93" s="24"/>
      <c r="B93" s="25"/>
      <c r="C93" s="25"/>
      <c r="D93" s="25"/>
      <c r="E93" s="25"/>
      <c r="F93" s="25"/>
      <c r="G93" s="25"/>
      <c r="H93" s="24"/>
      <c r="I93" s="25"/>
    </row>
    <row r="94" customFormat="false" ht="15" hidden="false" customHeight="false" outlineLevel="0" collapsed="false">
      <c r="A94" s="24"/>
      <c r="B94" s="25"/>
      <c r="C94" s="25"/>
      <c r="D94" s="25"/>
      <c r="E94" s="25"/>
      <c r="F94" s="25"/>
      <c r="G94" s="25"/>
      <c r="H94" s="24"/>
      <c r="I94" s="25"/>
    </row>
    <row r="95" customFormat="false" ht="15" hidden="false" customHeight="false" outlineLevel="0" collapsed="false">
      <c r="A95" s="24"/>
      <c r="B95" s="25"/>
      <c r="C95" s="25"/>
      <c r="D95" s="25"/>
      <c r="E95" s="25"/>
      <c r="F95" s="25"/>
      <c r="G95" s="25"/>
      <c r="H95" s="24"/>
      <c r="I95" s="25"/>
    </row>
    <row r="96" customFormat="false" ht="15" hidden="false" customHeight="false" outlineLevel="0" collapsed="false">
      <c r="A96" s="24"/>
      <c r="B96" s="25"/>
      <c r="C96" s="25"/>
      <c r="D96" s="25"/>
      <c r="E96" s="25"/>
      <c r="F96" s="25"/>
      <c r="G96" s="25"/>
      <c r="H96" s="24"/>
      <c r="I96" s="25"/>
    </row>
    <row r="97" customFormat="false" ht="15" hidden="false" customHeight="false" outlineLevel="0" collapsed="false">
      <c r="A97" s="24"/>
      <c r="B97" s="25"/>
      <c r="C97" s="25"/>
      <c r="D97" s="25"/>
      <c r="E97" s="25"/>
      <c r="F97" s="25"/>
      <c r="G97" s="25"/>
      <c r="H97" s="24"/>
      <c r="I97" s="25"/>
    </row>
    <row r="98" customFormat="false" ht="15" hidden="false" customHeight="false" outlineLevel="0" collapsed="false">
      <c r="A98" s="24"/>
      <c r="B98" s="25"/>
      <c r="C98" s="25"/>
      <c r="D98" s="25"/>
      <c r="E98" s="25"/>
      <c r="F98" s="25"/>
      <c r="G98" s="25"/>
      <c r="H98" s="24"/>
      <c r="I98" s="25"/>
    </row>
    <row r="99" customFormat="false" ht="15" hidden="false" customHeight="false" outlineLevel="0" collapsed="false">
      <c r="A99" s="24"/>
      <c r="B99" s="25"/>
      <c r="C99" s="25"/>
      <c r="D99" s="25"/>
      <c r="E99" s="25"/>
      <c r="F99" s="25"/>
      <c r="G99" s="25"/>
      <c r="H99" s="24"/>
      <c r="I99" s="25"/>
    </row>
    <row r="100" customFormat="false" ht="15" hidden="false" customHeight="false" outlineLevel="0" collapsed="false">
      <c r="A100" s="24"/>
      <c r="B100" s="25"/>
      <c r="C100" s="25"/>
      <c r="D100" s="25"/>
      <c r="E100" s="25"/>
      <c r="F100" s="25"/>
      <c r="G100" s="25"/>
      <c r="H100" s="24"/>
      <c r="I100" s="25"/>
    </row>
    <row r="101" customFormat="false" ht="15" hidden="false" customHeight="false" outlineLevel="0" collapsed="false">
      <c r="A101" s="24"/>
      <c r="B101" s="25"/>
      <c r="C101" s="25"/>
      <c r="D101" s="25"/>
      <c r="E101" s="25"/>
      <c r="F101" s="25"/>
      <c r="G101" s="25"/>
      <c r="H101" s="24"/>
      <c r="I101" s="25"/>
    </row>
    <row r="102" customFormat="false" ht="15" hidden="false" customHeight="false" outlineLevel="0" collapsed="false">
      <c r="A102" s="24"/>
      <c r="B102" s="25"/>
      <c r="C102" s="25"/>
      <c r="D102" s="25"/>
      <c r="E102" s="25"/>
      <c r="F102" s="25"/>
      <c r="G102" s="25"/>
      <c r="H102" s="24"/>
      <c r="I102" s="25"/>
    </row>
    <row r="103" customFormat="false" ht="15" hidden="false" customHeight="false" outlineLevel="0" collapsed="false">
      <c r="A103" s="24"/>
      <c r="B103" s="25"/>
      <c r="C103" s="25"/>
      <c r="D103" s="25"/>
      <c r="E103" s="25"/>
      <c r="F103" s="25"/>
      <c r="G103" s="25"/>
      <c r="H103" s="24"/>
      <c r="I103" s="25"/>
    </row>
    <row r="104" customFormat="false" ht="15" hidden="false" customHeight="false" outlineLevel="0" collapsed="false">
      <c r="A104" s="24"/>
      <c r="B104" s="25"/>
      <c r="C104" s="25"/>
      <c r="D104" s="25"/>
      <c r="E104" s="25"/>
      <c r="F104" s="25"/>
      <c r="G104" s="25"/>
      <c r="H104" s="24"/>
      <c r="I104" s="25"/>
    </row>
    <row r="105" customFormat="false" ht="15" hidden="false" customHeight="false" outlineLevel="0" collapsed="false">
      <c r="A105" s="24"/>
      <c r="B105" s="25"/>
      <c r="C105" s="25"/>
      <c r="D105" s="25"/>
      <c r="E105" s="25"/>
      <c r="F105" s="25"/>
      <c r="G105" s="25"/>
      <c r="H105" s="24"/>
      <c r="I105" s="25"/>
    </row>
    <row r="106" customFormat="false" ht="15" hidden="false" customHeight="false" outlineLevel="0" collapsed="false">
      <c r="A106" s="24"/>
      <c r="B106" s="25"/>
      <c r="C106" s="25"/>
      <c r="D106" s="25"/>
      <c r="E106" s="25"/>
      <c r="F106" s="25"/>
      <c r="G106" s="25"/>
      <c r="H106" s="24"/>
      <c r="I106" s="25"/>
    </row>
    <row r="107" customFormat="false" ht="15" hidden="false" customHeight="false" outlineLevel="0" collapsed="false">
      <c r="A107" s="24"/>
      <c r="B107" s="25"/>
      <c r="C107" s="25"/>
      <c r="D107" s="25"/>
      <c r="E107" s="25"/>
      <c r="F107" s="25"/>
      <c r="G107" s="25"/>
      <c r="H107" s="24"/>
      <c r="I107" s="25"/>
    </row>
    <row r="108" customFormat="false" ht="15" hidden="false" customHeight="false" outlineLevel="0" collapsed="false">
      <c r="A108" s="24"/>
      <c r="B108" s="25"/>
      <c r="C108" s="25"/>
      <c r="D108" s="25"/>
      <c r="E108" s="25"/>
      <c r="F108" s="25"/>
      <c r="G108" s="25"/>
      <c r="H108" s="24"/>
      <c r="I108" s="25"/>
    </row>
    <row r="109" customFormat="false" ht="15" hidden="false" customHeight="false" outlineLevel="0" collapsed="false">
      <c r="A109" s="24"/>
      <c r="B109" s="25"/>
      <c r="C109" s="25"/>
      <c r="D109" s="25"/>
      <c r="E109" s="25"/>
      <c r="F109" s="25"/>
      <c r="G109" s="25"/>
      <c r="H109" s="24"/>
      <c r="I109" s="25"/>
    </row>
    <row r="110" customFormat="false" ht="15" hidden="false" customHeight="false" outlineLevel="0" collapsed="false">
      <c r="A110" s="24"/>
      <c r="B110" s="25"/>
      <c r="C110" s="25"/>
      <c r="D110" s="25"/>
      <c r="E110" s="25"/>
      <c r="F110" s="25"/>
      <c r="G110" s="25"/>
      <c r="H110" s="24"/>
      <c r="I110" s="25"/>
    </row>
    <row r="111" customFormat="false" ht="15" hidden="false" customHeight="false" outlineLevel="0" collapsed="false">
      <c r="A111" s="24"/>
      <c r="B111" s="25"/>
      <c r="C111" s="25"/>
      <c r="D111" s="25"/>
      <c r="E111" s="25"/>
      <c r="F111" s="25"/>
      <c r="G111" s="25"/>
      <c r="H111" s="24"/>
      <c r="I111" s="25"/>
    </row>
    <row r="112" customFormat="false" ht="15" hidden="false" customHeight="false" outlineLevel="0" collapsed="false">
      <c r="A112" s="24"/>
      <c r="B112" s="25"/>
      <c r="C112" s="25"/>
      <c r="D112" s="25"/>
      <c r="E112" s="25"/>
      <c r="F112" s="25"/>
      <c r="G112" s="25"/>
      <c r="H112" s="24"/>
      <c r="I112" s="25"/>
    </row>
    <row r="113" customFormat="false" ht="15" hidden="false" customHeight="false" outlineLevel="0" collapsed="false">
      <c r="A113" s="24"/>
      <c r="B113" s="25"/>
      <c r="C113" s="25"/>
      <c r="D113" s="25"/>
      <c r="E113" s="25"/>
      <c r="F113" s="25"/>
      <c r="G113" s="25"/>
      <c r="H113" s="24"/>
      <c r="I113" s="25"/>
    </row>
    <row r="114" customFormat="false" ht="15" hidden="false" customHeight="false" outlineLevel="0" collapsed="false">
      <c r="A114" s="24"/>
      <c r="B114" s="25"/>
      <c r="C114" s="25"/>
      <c r="D114" s="25"/>
      <c r="E114" s="25"/>
      <c r="F114" s="25"/>
      <c r="G114" s="25"/>
      <c r="H114" s="24"/>
      <c r="I114" s="25"/>
    </row>
    <row r="115" customFormat="false" ht="15" hidden="false" customHeight="false" outlineLevel="0" collapsed="false">
      <c r="A115" s="24"/>
      <c r="B115" s="25"/>
      <c r="C115" s="25"/>
      <c r="D115" s="25"/>
      <c r="E115" s="25"/>
      <c r="F115" s="25"/>
      <c r="G115" s="25"/>
      <c r="H115" s="24"/>
      <c r="I115" s="25"/>
    </row>
    <row r="116" customFormat="false" ht="15" hidden="false" customHeight="false" outlineLevel="0" collapsed="false">
      <c r="A116" s="24"/>
      <c r="B116" s="25"/>
      <c r="C116" s="25"/>
      <c r="D116" s="25"/>
      <c r="E116" s="25"/>
      <c r="F116" s="25"/>
      <c r="G116" s="25"/>
      <c r="H116" s="24"/>
      <c r="I116" s="25"/>
    </row>
    <row r="117" customFormat="false" ht="15" hidden="false" customHeight="false" outlineLevel="0" collapsed="false">
      <c r="A117" s="24"/>
      <c r="B117" s="25"/>
      <c r="C117" s="25"/>
      <c r="D117" s="25"/>
      <c r="E117" s="25"/>
      <c r="F117" s="25"/>
      <c r="G117" s="25"/>
      <c r="H117" s="24"/>
      <c r="I117" s="25"/>
    </row>
    <row r="118" customFormat="false" ht="15" hidden="false" customHeight="false" outlineLevel="0" collapsed="false">
      <c r="A118" s="24"/>
      <c r="B118" s="25"/>
      <c r="C118" s="25"/>
      <c r="D118" s="25"/>
      <c r="E118" s="25"/>
      <c r="F118" s="25"/>
      <c r="G118" s="25"/>
      <c r="H118" s="24"/>
      <c r="I118" s="25"/>
    </row>
    <row r="119" customFormat="false" ht="15" hidden="false" customHeight="false" outlineLevel="0" collapsed="false">
      <c r="A119" s="24"/>
      <c r="B119" s="25"/>
      <c r="C119" s="25"/>
      <c r="D119" s="25"/>
      <c r="E119" s="25"/>
      <c r="F119" s="25"/>
      <c r="G119" s="25"/>
      <c r="H119" s="24"/>
      <c r="I119" s="25"/>
    </row>
    <row r="120" customFormat="false" ht="15" hidden="false" customHeight="false" outlineLevel="0" collapsed="false">
      <c r="A120" s="24"/>
      <c r="B120" s="25"/>
      <c r="C120" s="25"/>
      <c r="D120" s="25"/>
      <c r="E120" s="25"/>
      <c r="F120" s="25"/>
      <c r="G120" s="25"/>
      <c r="H120" s="24"/>
      <c r="I120" s="25"/>
    </row>
    <row r="121" customFormat="false" ht="15" hidden="false" customHeight="false" outlineLevel="0" collapsed="false">
      <c r="A121" s="24"/>
      <c r="B121" s="25"/>
      <c r="C121" s="25"/>
      <c r="D121" s="25"/>
      <c r="E121" s="25"/>
      <c r="F121" s="25"/>
      <c r="G121" s="25"/>
      <c r="H121" s="24"/>
      <c r="I121" s="25"/>
    </row>
    <row r="122" customFormat="false" ht="15" hidden="false" customHeight="false" outlineLevel="0" collapsed="false">
      <c r="A122" s="24"/>
      <c r="B122" s="25"/>
      <c r="C122" s="25"/>
      <c r="D122" s="25"/>
      <c r="E122" s="25"/>
      <c r="F122" s="25"/>
      <c r="G122" s="25"/>
      <c r="H122" s="24"/>
      <c r="I122" s="25"/>
    </row>
    <row r="123" customFormat="false" ht="15" hidden="false" customHeight="false" outlineLevel="0" collapsed="false">
      <c r="A123" s="24"/>
      <c r="B123" s="25"/>
      <c r="C123" s="25"/>
      <c r="D123" s="25"/>
      <c r="E123" s="25"/>
      <c r="F123" s="25"/>
      <c r="G123" s="25"/>
      <c r="H123" s="24"/>
      <c r="I123" s="25"/>
    </row>
    <row r="124" customFormat="false" ht="15" hidden="false" customHeight="false" outlineLevel="0" collapsed="false">
      <c r="A124" s="24"/>
      <c r="B124" s="25"/>
      <c r="C124" s="25"/>
      <c r="D124" s="25"/>
      <c r="E124" s="25"/>
      <c r="F124" s="25"/>
      <c r="G124" s="25"/>
      <c r="H124" s="24"/>
      <c r="I124" s="25"/>
    </row>
    <row r="125" customFormat="false" ht="15" hidden="false" customHeight="false" outlineLevel="0" collapsed="false">
      <c r="A125" s="24"/>
      <c r="B125" s="25"/>
      <c r="C125" s="25"/>
      <c r="D125" s="25"/>
      <c r="E125" s="25"/>
      <c r="F125" s="25"/>
      <c r="G125" s="25"/>
      <c r="H125" s="24"/>
      <c r="I125" s="25"/>
    </row>
    <row r="126" customFormat="false" ht="15" hidden="false" customHeight="false" outlineLevel="0" collapsed="false">
      <c r="A126" s="24"/>
      <c r="B126" s="25"/>
      <c r="C126" s="25"/>
      <c r="D126" s="25"/>
      <c r="E126" s="25"/>
      <c r="F126" s="25"/>
      <c r="G126" s="25"/>
      <c r="H126" s="24"/>
      <c r="I126" s="25"/>
    </row>
    <row r="127" customFormat="false" ht="15" hidden="false" customHeight="false" outlineLevel="0" collapsed="false">
      <c r="A127" s="24"/>
      <c r="B127" s="25"/>
      <c r="C127" s="25"/>
      <c r="D127" s="25"/>
      <c r="E127" s="25"/>
      <c r="F127" s="25"/>
      <c r="G127" s="25"/>
      <c r="H127" s="24"/>
      <c r="I127" s="25"/>
    </row>
    <row r="128" customFormat="false" ht="15" hidden="false" customHeight="false" outlineLevel="0" collapsed="false">
      <c r="A128" s="24"/>
      <c r="B128" s="25"/>
      <c r="C128" s="25"/>
      <c r="D128" s="25"/>
      <c r="E128" s="25"/>
      <c r="F128" s="25"/>
      <c r="G128" s="25"/>
      <c r="H128" s="24"/>
      <c r="I128" s="25"/>
    </row>
    <row r="129" customFormat="false" ht="15" hidden="false" customHeight="false" outlineLevel="0" collapsed="false">
      <c r="A129" s="24"/>
      <c r="B129" s="25"/>
      <c r="C129" s="25"/>
      <c r="D129" s="25"/>
      <c r="E129" s="25"/>
      <c r="F129" s="25"/>
      <c r="G129" s="25"/>
      <c r="H129" s="24"/>
      <c r="I129" s="25"/>
    </row>
    <row r="130" customFormat="false" ht="15" hidden="false" customHeight="false" outlineLevel="0" collapsed="false">
      <c r="A130" s="24"/>
      <c r="B130" s="25"/>
      <c r="C130" s="25"/>
      <c r="D130" s="25"/>
      <c r="E130" s="25"/>
      <c r="F130" s="25"/>
      <c r="G130" s="25"/>
      <c r="H130" s="24"/>
      <c r="I130" s="25"/>
    </row>
    <row r="131" customFormat="false" ht="15" hidden="false" customHeight="false" outlineLevel="0" collapsed="false">
      <c r="A131" s="24"/>
      <c r="B131" s="25"/>
      <c r="C131" s="25"/>
      <c r="D131" s="25"/>
      <c r="E131" s="25"/>
      <c r="F131" s="25"/>
      <c r="G131" s="25"/>
      <c r="H131" s="24"/>
      <c r="I131" s="25"/>
    </row>
    <row r="132" customFormat="false" ht="15" hidden="false" customHeight="false" outlineLevel="0" collapsed="false">
      <c r="A132" s="24"/>
      <c r="B132" s="25"/>
      <c r="C132" s="25"/>
      <c r="D132" s="25"/>
      <c r="E132" s="25"/>
      <c r="F132" s="25"/>
      <c r="G132" s="25"/>
      <c r="H132" s="24"/>
      <c r="I132" s="25"/>
    </row>
    <row r="133" customFormat="false" ht="15" hidden="false" customHeight="false" outlineLevel="0" collapsed="false">
      <c r="A133" s="24"/>
      <c r="B133" s="25"/>
      <c r="C133" s="25"/>
      <c r="D133" s="25"/>
      <c r="E133" s="25"/>
      <c r="F133" s="25"/>
      <c r="G133" s="25"/>
      <c r="H133" s="24"/>
      <c r="I133" s="25"/>
    </row>
    <row r="134" customFormat="false" ht="15" hidden="false" customHeight="false" outlineLevel="0" collapsed="false">
      <c r="A134" s="24"/>
      <c r="B134" s="25"/>
      <c r="C134" s="25"/>
      <c r="D134" s="25"/>
      <c r="E134" s="25"/>
      <c r="F134" s="25"/>
      <c r="G134" s="25"/>
      <c r="H134" s="24"/>
      <c r="I134" s="25"/>
    </row>
    <row r="135" customFormat="false" ht="15" hidden="false" customHeight="false" outlineLevel="0" collapsed="false">
      <c r="A135" s="24"/>
      <c r="B135" s="25"/>
      <c r="C135" s="25"/>
      <c r="D135" s="25"/>
      <c r="E135" s="25"/>
      <c r="F135" s="25"/>
      <c r="G135" s="25"/>
      <c r="H135" s="24"/>
      <c r="I135" s="25"/>
    </row>
    <row r="136" customFormat="false" ht="15" hidden="false" customHeight="false" outlineLevel="0" collapsed="false">
      <c r="A136" s="24"/>
      <c r="B136" s="25"/>
      <c r="C136" s="25"/>
      <c r="D136" s="25"/>
      <c r="E136" s="25"/>
      <c r="F136" s="25"/>
      <c r="G136" s="25"/>
      <c r="H136" s="24"/>
      <c r="I136" s="25"/>
    </row>
    <row r="137" customFormat="false" ht="15" hidden="false" customHeight="false" outlineLevel="0" collapsed="false">
      <c r="A137" s="24"/>
      <c r="B137" s="25"/>
      <c r="C137" s="25"/>
      <c r="D137" s="25"/>
      <c r="E137" s="25"/>
      <c r="F137" s="25"/>
      <c r="G137" s="25"/>
      <c r="H137" s="24"/>
      <c r="I137" s="25"/>
    </row>
    <row r="138" customFormat="false" ht="15" hidden="false" customHeight="false" outlineLevel="0" collapsed="false">
      <c r="A138" s="24"/>
      <c r="B138" s="25"/>
      <c r="C138" s="25"/>
      <c r="D138" s="25"/>
      <c r="E138" s="25"/>
      <c r="F138" s="25"/>
      <c r="G138" s="25"/>
      <c r="H138" s="24"/>
      <c r="I138" s="25"/>
    </row>
    <row r="139" customFormat="false" ht="15" hidden="false" customHeight="false" outlineLevel="0" collapsed="false">
      <c r="A139" s="24"/>
      <c r="B139" s="25"/>
      <c r="C139" s="25"/>
      <c r="D139" s="25"/>
      <c r="E139" s="25"/>
      <c r="F139" s="25"/>
      <c r="G139" s="25"/>
      <c r="H139" s="24"/>
      <c r="I139" s="25"/>
    </row>
    <row r="140" customFormat="false" ht="15" hidden="false" customHeight="false" outlineLevel="0" collapsed="false">
      <c r="A140" s="24"/>
      <c r="B140" s="25"/>
      <c r="C140" s="25"/>
      <c r="D140" s="25"/>
      <c r="E140" s="25"/>
      <c r="F140" s="25"/>
      <c r="G140" s="25"/>
      <c r="H140" s="24"/>
      <c r="I140" s="25"/>
    </row>
    <row r="141" customFormat="false" ht="15" hidden="false" customHeight="false" outlineLevel="0" collapsed="false">
      <c r="A141" s="24"/>
      <c r="B141" s="25"/>
      <c r="C141" s="25"/>
      <c r="D141" s="25"/>
      <c r="E141" s="25"/>
      <c r="F141" s="25"/>
      <c r="G141" s="25"/>
      <c r="H141" s="24"/>
      <c r="I141" s="25"/>
    </row>
    <row r="142" customFormat="false" ht="15" hidden="false" customHeight="false" outlineLevel="0" collapsed="false">
      <c r="A142" s="24"/>
      <c r="B142" s="25"/>
      <c r="C142" s="25"/>
      <c r="D142" s="25"/>
      <c r="E142" s="25"/>
      <c r="F142" s="25"/>
      <c r="G142" s="25"/>
      <c r="H142" s="24"/>
      <c r="I142" s="25"/>
    </row>
    <row r="143" customFormat="false" ht="15" hidden="false" customHeight="false" outlineLevel="0" collapsed="false">
      <c r="A143" s="24"/>
      <c r="B143" s="25"/>
      <c r="C143" s="25"/>
      <c r="D143" s="25"/>
      <c r="E143" s="25"/>
      <c r="F143" s="25"/>
      <c r="G143" s="25"/>
      <c r="H143" s="24"/>
      <c r="I143" s="25"/>
    </row>
    <row r="144" customFormat="false" ht="15" hidden="false" customHeight="false" outlineLevel="0" collapsed="false">
      <c r="A144" s="24"/>
      <c r="B144" s="25"/>
      <c r="C144" s="25"/>
      <c r="D144" s="25"/>
      <c r="E144" s="25"/>
      <c r="F144" s="25"/>
      <c r="G144" s="25"/>
      <c r="H144" s="24"/>
      <c r="I144" s="25"/>
    </row>
    <row r="145" customFormat="false" ht="15" hidden="false" customHeight="false" outlineLevel="0" collapsed="false">
      <c r="A145" s="24"/>
      <c r="B145" s="25"/>
      <c r="C145" s="25"/>
      <c r="D145" s="25"/>
      <c r="E145" s="25"/>
      <c r="F145" s="25"/>
      <c r="G145" s="25"/>
      <c r="H145" s="24"/>
      <c r="I145" s="25"/>
    </row>
    <row r="146" customFormat="false" ht="15" hidden="false" customHeight="false" outlineLevel="0" collapsed="false">
      <c r="A146" s="24"/>
      <c r="B146" s="25"/>
      <c r="C146" s="25"/>
      <c r="D146" s="25"/>
      <c r="E146" s="25"/>
      <c r="F146" s="25"/>
      <c r="G146" s="25"/>
      <c r="H146" s="24"/>
      <c r="I146" s="25"/>
    </row>
    <row r="147" customFormat="false" ht="15" hidden="false" customHeight="false" outlineLevel="0" collapsed="false">
      <c r="A147" s="24"/>
      <c r="B147" s="25"/>
      <c r="C147" s="25"/>
      <c r="D147" s="25"/>
      <c r="E147" s="25"/>
      <c r="F147" s="25"/>
      <c r="G147" s="25"/>
      <c r="H147" s="24"/>
      <c r="I147" s="25"/>
    </row>
    <row r="148" customFormat="false" ht="15" hidden="false" customHeight="false" outlineLevel="0" collapsed="false">
      <c r="A148" s="24"/>
      <c r="B148" s="25"/>
      <c r="C148" s="25"/>
      <c r="D148" s="25"/>
      <c r="E148" s="25"/>
      <c r="F148" s="25"/>
      <c r="G148" s="25"/>
      <c r="H148" s="24"/>
      <c r="I148" s="25"/>
    </row>
    <row r="149" customFormat="false" ht="15" hidden="false" customHeight="false" outlineLevel="0" collapsed="false">
      <c r="A149" s="24"/>
      <c r="B149" s="25"/>
      <c r="C149" s="25"/>
      <c r="D149" s="25"/>
      <c r="E149" s="25"/>
      <c r="F149" s="25"/>
      <c r="G149" s="25"/>
      <c r="H149" s="24"/>
      <c r="I149" s="25"/>
    </row>
    <row r="150" customFormat="false" ht="15" hidden="false" customHeight="false" outlineLevel="0" collapsed="false">
      <c r="A150" s="24"/>
      <c r="B150" s="25"/>
      <c r="C150" s="25"/>
      <c r="D150" s="25"/>
      <c r="E150" s="25"/>
      <c r="F150" s="25"/>
      <c r="G150" s="25"/>
      <c r="H150" s="24"/>
      <c r="I150" s="25"/>
    </row>
    <row r="151" customFormat="false" ht="15" hidden="false" customHeight="false" outlineLevel="0" collapsed="false">
      <c r="A151" s="24"/>
      <c r="B151" s="25"/>
      <c r="C151" s="25"/>
      <c r="D151" s="25"/>
      <c r="E151" s="25"/>
      <c r="F151" s="25"/>
      <c r="G151" s="25"/>
      <c r="H151" s="24"/>
      <c r="I151" s="25"/>
    </row>
    <row r="152" customFormat="false" ht="15" hidden="false" customHeight="false" outlineLevel="0" collapsed="false">
      <c r="A152" s="24"/>
      <c r="B152" s="25"/>
      <c r="C152" s="25"/>
      <c r="D152" s="25"/>
      <c r="E152" s="25"/>
      <c r="F152" s="25"/>
      <c r="G152" s="25"/>
      <c r="H152" s="24"/>
      <c r="I152" s="25"/>
    </row>
    <row r="153" customFormat="false" ht="15" hidden="false" customHeight="false" outlineLevel="0" collapsed="false">
      <c r="A153" s="24"/>
      <c r="B153" s="25"/>
      <c r="C153" s="25"/>
      <c r="D153" s="25"/>
      <c r="E153" s="25"/>
      <c r="F153" s="25"/>
      <c r="G153" s="25"/>
      <c r="H153" s="24"/>
      <c r="I153" s="25"/>
    </row>
    <row r="154" customFormat="false" ht="15" hidden="false" customHeight="false" outlineLevel="0" collapsed="false">
      <c r="A154" s="24"/>
      <c r="B154" s="25"/>
      <c r="C154" s="25"/>
      <c r="D154" s="25"/>
      <c r="E154" s="25"/>
      <c r="F154" s="25"/>
      <c r="G154" s="25"/>
      <c r="H154" s="24"/>
      <c r="I154" s="25"/>
    </row>
    <row r="155" customFormat="false" ht="15" hidden="false" customHeight="false" outlineLevel="0" collapsed="false">
      <c r="A155" s="24"/>
      <c r="B155" s="25"/>
      <c r="C155" s="25"/>
      <c r="D155" s="25"/>
      <c r="E155" s="25"/>
      <c r="F155" s="25"/>
      <c r="G155" s="25"/>
      <c r="H155" s="24"/>
      <c r="I155" s="25"/>
    </row>
    <row r="156" customFormat="false" ht="15" hidden="false" customHeight="false" outlineLevel="0" collapsed="false">
      <c r="A156" s="24"/>
      <c r="B156" s="25"/>
      <c r="C156" s="25"/>
      <c r="D156" s="25"/>
      <c r="E156" s="25"/>
      <c r="F156" s="25"/>
      <c r="G156" s="25"/>
      <c r="H156" s="24"/>
      <c r="I156" s="25"/>
    </row>
    <row r="157" customFormat="false" ht="15" hidden="false" customHeight="false" outlineLevel="0" collapsed="false">
      <c r="A157" s="24"/>
      <c r="B157" s="25"/>
      <c r="C157" s="25"/>
      <c r="D157" s="25"/>
      <c r="E157" s="25"/>
      <c r="F157" s="25"/>
      <c r="G157" s="25"/>
      <c r="H157" s="24"/>
      <c r="I157" s="25"/>
    </row>
    <row r="158" customFormat="false" ht="15" hidden="false" customHeight="false" outlineLevel="0" collapsed="false">
      <c r="A158" s="24"/>
      <c r="B158" s="25"/>
      <c r="C158" s="25"/>
      <c r="D158" s="25"/>
      <c r="E158" s="25"/>
      <c r="F158" s="25"/>
      <c r="G158" s="25"/>
      <c r="H158" s="24"/>
      <c r="I158" s="25"/>
    </row>
    <row r="159" customFormat="false" ht="15" hidden="false" customHeight="false" outlineLevel="0" collapsed="false">
      <c r="A159" s="24"/>
      <c r="B159" s="25"/>
      <c r="C159" s="25"/>
      <c r="D159" s="25"/>
      <c r="E159" s="25"/>
      <c r="F159" s="25"/>
      <c r="G159" s="25"/>
      <c r="H159" s="24"/>
      <c r="I159" s="25"/>
    </row>
    <row r="160" customFormat="false" ht="15" hidden="false" customHeight="false" outlineLevel="0" collapsed="false">
      <c r="A160" s="24"/>
      <c r="B160" s="25"/>
      <c r="C160" s="25"/>
      <c r="D160" s="25"/>
      <c r="E160" s="25"/>
      <c r="F160" s="25"/>
      <c r="G160" s="25"/>
      <c r="H160" s="24"/>
      <c r="I160" s="25"/>
    </row>
    <row r="161" customFormat="false" ht="15" hidden="false" customHeight="false" outlineLevel="0" collapsed="false">
      <c r="A161" s="24"/>
      <c r="B161" s="25"/>
      <c r="C161" s="25"/>
      <c r="D161" s="25"/>
      <c r="E161" s="25"/>
      <c r="F161" s="25"/>
      <c r="G161" s="25"/>
      <c r="H161" s="24"/>
      <c r="I161" s="25"/>
    </row>
    <row r="162" customFormat="false" ht="15" hidden="false" customHeight="false" outlineLevel="0" collapsed="false">
      <c r="A162" s="24"/>
      <c r="B162" s="25"/>
      <c r="C162" s="25"/>
      <c r="D162" s="25"/>
      <c r="E162" s="25"/>
      <c r="F162" s="25"/>
      <c r="G162" s="25"/>
      <c r="H162" s="24"/>
      <c r="I162" s="25"/>
    </row>
    <row r="163" customFormat="false" ht="15" hidden="false" customHeight="false" outlineLevel="0" collapsed="false">
      <c r="A163" s="24"/>
      <c r="B163" s="25"/>
      <c r="C163" s="25"/>
      <c r="D163" s="25"/>
      <c r="E163" s="25"/>
      <c r="F163" s="25"/>
      <c r="G163" s="25"/>
      <c r="H163" s="24"/>
      <c r="I163" s="25"/>
    </row>
    <row r="164" customFormat="false" ht="15" hidden="false" customHeight="false" outlineLevel="0" collapsed="false">
      <c r="A164" s="24"/>
      <c r="B164" s="25"/>
      <c r="C164" s="25"/>
      <c r="D164" s="25"/>
      <c r="E164" s="25"/>
      <c r="F164" s="25"/>
      <c r="G164" s="25"/>
      <c r="H164" s="24"/>
      <c r="I164" s="25"/>
    </row>
    <row r="165" customFormat="false" ht="15" hidden="false" customHeight="false" outlineLevel="0" collapsed="false">
      <c r="A165" s="24"/>
      <c r="B165" s="25"/>
      <c r="C165" s="25"/>
      <c r="D165" s="25"/>
      <c r="E165" s="25"/>
      <c r="F165" s="25"/>
      <c r="G165" s="25"/>
      <c r="H165" s="24"/>
      <c r="I165" s="25"/>
    </row>
    <row r="166" customFormat="false" ht="15" hidden="false" customHeight="false" outlineLevel="0" collapsed="false">
      <c r="A166" s="24"/>
      <c r="B166" s="25"/>
      <c r="C166" s="25"/>
      <c r="D166" s="25"/>
      <c r="E166" s="25"/>
      <c r="F166" s="25"/>
      <c r="G166" s="25"/>
      <c r="H166" s="24"/>
      <c r="I166" s="25"/>
    </row>
    <row r="167" customFormat="false" ht="15" hidden="false" customHeight="false" outlineLevel="0" collapsed="false">
      <c r="A167" s="24"/>
      <c r="B167" s="25"/>
      <c r="C167" s="25"/>
      <c r="D167" s="25"/>
      <c r="E167" s="25"/>
      <c r="F167" s="25"/>
      <c r="G167" s="25"/>
      <c r="H167" s="24"/>
      <c r="I167" s="25"/>
    </row>
    <row r="168" customFormat="false" ht="15" hidden="false" customHeight="false" outlineLevel="0" collapsed="false">
      <c r="A168" s="24"/>
      <c r="B168" s="25"/>
      <c r="C168" s="25"/>
      <c r="D168" s="25"/>
      <c r="E168" s="25"/>
      <c r="F168" s="25"/>
      <c r="G168" s="25"/>
      <c r="H168" s="24"/>
      <c r="I168" s="25"/>
    </row>
    <row r="169" customFormat="false" ht="15" hidden="false" customHeight="false" outlineLevel="0" collapsed="false">
      <c r="A169" s="24"/>
      <c r="B169" s="25"/>
      <c r="C169" s="25"/>
      <c r="D169" s="25"/>
      <c r="E169" s="25"/>
      <c r="F169" s="25"/>
      <c r="G169" s="25"/>
      <c r="H169" s="24"/>
      <c r="I169" s="25"/>
    </row>
    <row r="170" customFormat="false" ht="15" hidden="false" customHeight="false" outlineLevel="0" collapsed="false">
      <c r="A170" s="24"/>
      <c r="B170" s="25"/>
      <c r="C170" s="25"/>
      <c r="D170" s="25"/>
      <c r="E170" s="25"/>
      <c r="F170" s="25"/>
      <c r="G170" s="25"/>
      <c r="H170" s="24"/>
      <c r="I170" s="25"/>
    </row>
    <row r="171" customFormat="false" ht="15" hidden="false" customHeight="false" outlineLevel="0" collapsed="false">
      <c r="A171" s="24"/>
      <c r="B171" s="25"/>
      <c r="C171" s="25"/>
      <c r="D171" s="25"/>
      <c r="E171" s="25"/>
      <c r="F171" s="25"/>
      <c r="G171" s="25"/>
      <c r="H171" s="24"/>
      <c r="I171" s="25"/>
    </row>
    <row r="172" customFormat="false" ht="15" hidden="false" customHeight="false" outlineLevel="0" collapsed="false">
      <c r="A172" s="24"/>
      <c r="B172" s="25"/>
      <c r="C172" s="25"/>
      <c r="D172" s="25"/>
      <c r="E172" s="25"/>
      <c r="F172" s="25"/>
      <c r="G172" s="25"/>
      <c r="H172" s="24"/>
      <c r="I172" s="25"/>
    </row>
    <row r="173" customFormat="false" ht="15" hidden="false" customHeight="false" outlineLevel="0" collapsed="false">
      <c r="A173" s="24"/>
      <c r="B173" s="25"/>
      <c r="C173" s="25"/>
      <c r="D173" s="25"/>
      <c r="E173" s="25"/>
      <c r="F173" s="25"/>
      <c r="G173" s="25"/>
      <c r="H173" s="24"/>
      <c r="I173" s="25"/>
    </row>
    <row r="174" customFormat="false" ht="15" hidden="false" customHeight="false" outlineLevel="0" collapsed="false">
      <c r="A174" s="24"/>
      <c r="B174" s="25"/>
      <c r="C174" s="25"/>
      <c r="D174" s="25"/>
      <c r="E174" s="25"/>
      <c r="F174" s="25"/>
      <c r="G174" s="25"/>
      <c r="H174" s="24"/>
      <c r="I174" s="25"/>
    </row>
    <row r="175" customFormat="false" ht="15" hidden="false" customHeight="false" outlineLevel="0" collapsed="false">
      <c r="A175" s="24"/>
      <c r="B175" s="25"/>
      <c r="C175" s="25"/>
      <c r="D175" s="25"/>
      <c r="E175" s="25"/>
      <c r="F175" s="25"/>
      <c r="G175" s="25"/>
      <c r="H175" s="24"/>
      <c r="I175" s="25"/>
    </row>
    <row r="176" customFormat="false" ht="15" hidden="false" customHeight="false" outlineLevel="0" collapsed="false">
      <c r="A176" s="24"/>
      <c r="B176" s="25"/>
      <c r="C176" s="25"/>
      <c r="D176" s="25"/>
      <c r="E176" s="25"/>
      <c r="F176" s="25"/>
      <c r="G176" s="25"/>
      <c r="H176" s="24"/>
      <c r="I176" s="25"/>
    </row>
    <row r="177" customFormat="false" ht="15" hidden="false" customHeight="false" outlineLevel="0" collapsed="false">
      <c r="A177" s="24"/>
      <c r="B177" s="25"/>
      <c r="C177" s="25"/>
      <c r="D177" s="25"/>
      <c r="E177" s="25"/>
      <c r="F177" s="25"/>
      <c r="G177" s="25"/>
      <c r="H177" s="24"/>
      <c r="I177" s="25"/>
    </row>
    <row r="178" customFormat="false" ht="15" hidden="false" customHeight="false" outlineLevel="0" collapsed="false">
      <c r="A178" s="24"/>
      <c r="B178" s="25"/>
      <c r="C178" s="25"/>
      <c r="D178" s="25"/>
      <c r="E178" s="25"/>
      <c r="F178" s="25"/>
      <c r="G178" s="25"/>
      <c r="H178" s="24"/>
      <c r="I178" s="25"/>
    </row>
    <row r="179" customFormat="false" ht="15" hidden="false" customHeight="false" outlineLevel="0" collapsed="false">
      <c r="A179" s="24"/>
      <c r="B179" s="25"/>
      <c r="C179" s="25"/>
      <c r="D179" s="25"/>
      <c r="E179" s="25"/>
      <c r="F179" s="25"/>
      <c r="G179" s="25"/>
      <c r="H179" s="24"/>
      <c r="I179" s="25"/>
    </row>
    <row r="180" customFormat="false" ht="15" hidden="false" customHeight="false" outlineLevel="0" collapsed="false">
      <c r="A180" s="24"/>
      <c r="B180" s="25"/>
      <c r="C180" s="25"/>
      <c r="D180" s="25"/>
      <c r="E180" s="25"/>
      <c r="F180" s="25"/>
      <c r="G180" s="25"/>
      <c r="H180" s="24"/>
      <c r="I180" s="25"/>
    </row>
    <row r="181" customFormat="false" ht="15" hidden="false" customHeight="false" outlineLevel="0" collapsed="false">
      <c r="A181" s="24"/>
      <c r="B181" s="25"/>
      <c r="C181" s="25"/>
      <c r="D181" s="25"/>
      <c r="E181" s="25"/>
      <c r="F181" s="25"/>
      <c r="G181" s="25"/>
      <c r="H181" s="24"/>
      <c r="I181" s="25"/>
    </row>
    <row r="182" customFormat="false" ht="15" hidden="false" customHeight="false" outlineLevel="0" collapsed="false">
      <c r="A182" s="24"/>
      <c r="B182" s="25"/>
      <c r="C182" s="25"/>
      <c r="D182" s="25"/>
      <c r="E182" s="25"/>
      <c r="F182" s="25"/>
      <c r="G182" s="25"/>
      <c r="H182" s="24"/>
      <c r="I182" s="25"/>
    </row>
    <row r="183" customFormat="false" ht="15" hidden="false" customHeight="false" outlineLevel="0" collapsed="false">
      <c r="A183" s="24"/>
      <c r="B183" s="25"/>
      <c r="C183" s="25"/>
      <c r="D183" s="25"/>
      <c r="E183" s="25"/>
      <c r="F183" s="25"/>
      <c r="G183" s="25"/>
      <c r="H183" s="24"/>
      <c r="I183" s="25"/>
    </row>
    <row r="184" customFormat="false" ht="15" hidden="false" customHeight="false" outlineLevel="0" collapsed="false">
      <c r="A184" s="24"/>
      <c r="B184" s="25"/>
      <c r="C184" s="25"/>
      <c r="D184" s="25"/>
      <c r="E184" s="25"/>
      <c r="F184" s="25"/>
      <c r="G184" s="25"/>
      <c r="H184" s="24"/>
      <c r="I184" s="25"/>
    </row>
    <row r="185" customFormat="false" ht="15" hidden="false" customHeight="false" outlineLevel="0" collapsed="false">
      <c r="A185" s="24"/>
      <c r="B185" s="25"/>
      <c r="C185" s="25"/>
      <c r="D185" s="25"/>
      <c r="E185" s="25"/>
      <c r="F185" s="25"/>
      <c r="G185" s="25"/>
      <c r="H185" s="24"/>
      <c r="I185" s="25"/>
    </row>
    <row r="186" customFormat="false" ht="15" hidden="false" customHeight="false" outlineLevel="0" collapsed="false">
      <c r="A186" s="24"/>
      <c r="B186" s="25"/>
      <c r="C186" s="25"/>
      <c r="D186" s="25"/>
      <c r="E186" s="25"/>
      <c r="F186" s="25"/>
      <c r="G186" s="25"/>
      <c r="H186" s="24"/>
      <c r="I186" s="25"/>
    </row>
    <row r="187" customFormat="false" ht="15" hidden="false" customHeight="false" outlineLevel="0" collapsed="false">
      <c r="A187" s="24"/>
      <c r="B187" s="25"/>
      <c r="C187" s="25"/>
      <c r="D187" s="25"/>
      <c r="E187" s="25"/>
      <c r="F187" s="25"/>
      <c r="G187" s="25"/>
      <c r="H187" s="24"/>
      <c r="I187" s="25"/>
    </row>
    <row r="188" customFormat="false" ht="15" hidden="false" customHeight="false" outlineLevel="0" collapsed="false">
      <c r="A188" s="24"/>
      <c r="B188" s="25"/>
      <c r="C188" s="25"/>
      <c r="D188" s="25"/>
      <c r="E188" s="25"/>
      <c r="F188" s="25"/>
      <c r="G188" s="25"/>
      <c r="H188" s="24"/>
      <c r="I188" s="25"/>
    </row>
    <row r="189" customFormat="false" ht="15" hidden="false" customHeight="false" outlineLevel="0" collapsed="false">
      <c r="A189" s="24"/>
      <c r="B189" s="25"/>
      <c r="C189" s="25"/>
      <c r="D189" s="25"/>
      <c r="E189" s="25"/>
      <c r="F189" s="25"/>
      <c r="G189" s="25"/>
      <c r="H189" s="24"/>
      <c r="I189" s="25"/>
    </row>
    <row r="190" customFormat="false" ht="15" hidden="false" customHeight="false" outlineLevel="0" collapsed="false">
      <c r="A190" s="24"/>
      <c r="B190" s="25"/>
      <c r="C190" s="25"/>
      <c r="D190" s="25"/>
      <c r="E190" s="25"/>
      <c r="F190" s="25"/>
      <c r="G190" s="25"/>
      <c r="H190" s="24"/>
      <c r="I190" s="25"/>
    </row>
    <row r="191" customFormat="false" ht="15" hidden="false" customHeight="false" outlineLevel="0" collapsed="false">
      <c r="A191" s="24"/>
      <c r="B191" s="25"/>
      <c r="C191" s="25"/>
      <c r="D191" s="25"/>
      <c r="E191" s="25"/>
      <c r="F191" s="25"/>
      <c r="G191" s="25"/>
      <c r="H191" s="24"/>
      <c r="I191" s="25"/>
    </row>
    <row r="192" customFormat="false" ht="15" hidden="false" customHeight="false" outlineLevel="0" collapsed="false">
      <c r="A192" s="24"/>
      <c r="B192" s="25"/>
      <c r="C192" s="25"/>
      <c r="D192" s="25"/>
      <c r="E192" s="25"/>
      <c r="F192" s="25"/>
      <c r="G192" s="25"/>
      <c r="H192" s="24"/>
      <c r="I192" s="25"/>
    </row>
    <row r="193" customFormat="false" ht="15" hidden="false" customHeight="false" outlineLevel="0" collapsed="false">
      <c r="A193" s="24"/>
      <c r="B193" s="25"/>
      <c r="C193" s="25"/>
      <c r="D193" s="25"/>
      <c r="E193" s="25"/>
      <c r="F193" s="25"/>
      <c r="G193" s="25"/>
      <c r="H193" s="24"/>
      <c r="I193" s="25"/>
    </row>
    <row r="194" customFormat="false" ht="15" hidden="false" customHeight="false" outlineLevel="0" collapsed="false">
      <c r="A194" s="24"/>
      <c r="B194" s="25"/>
      <c r="C194" s="25"/>
      <c r="D194" s="25"/>
      <c r="E194" s="25"/>
      <c r="F194" s="25"/>
      <c r="G194" s="25"/>
      <c r="H194" s="24"/>
      <c r="I194" s="25"/>
    </row>
    <row r="195" customFormat="false" ht="15" hidden="false" customHeight="false" outlineLevel="0" collapsed="false">
      <c r="A195" s="24"/>
      <c r="B195" s="25"/>
      <c r="C195" s="25"/>
      <c r="D195" s="25"/>
      <c r="E195" s="25"/>
      <c r="F195" s="25"/>
      <c r="G195" s="25"/>
      <c r="H195" s="24"/>
      <c r="I195" s="25"/>
    </row>
    <row r="196" customFormat="false" ht="15" hidden="false" customHeight="false" outlineLevel="0" collapsed="false">
      <c r="A196" s="24"/>
      <c r="B196" s="25"/>
      <c r="C196" s="25"/>
      <c r="D196" s="25"/>
      <c r="E196" s="25"/>
      <c r="F196" s="25"/>
      <c r="G196" s="25"/>
      <c r="H196" s="24"/>
      <c r="I196" s="25"/>
    </row>
    <row r="197" customFormat="false" ht="15" hidden="false" customHeight="false" outlineLevel="0" collapsed="false">
      <c r="A197" s="24"/>
      <c r="B197" s="25"/>
      <c r="C197" s="25"/>
      <c r="D197" s="25"/>
      <c r="E197" s="25"/>
      <c r="F197" s="25"/>
      <c r="G197" s="25"/>
      <c r="H197" s="24"/>
      <c r="I197" s="25"/>
    </row>
    <row r="198" customFormat="false" ht="15" hidden="false" customHeight="false" outlineLevel="0" collapsed="false">
      <c r="A198" s="24"/>
      <c r="B198" s="25"/>
      <c r="C198" s="25"/>
      <c r="D198" s="25"/>
      <c r="E198" s="25"/>
      <c r="F198" s="25"/>
      <c r="G198" s="25"/>
      <c r="H198" s="24"/>
      <c r="I198" s="25"/>
    </row>
    <row r="199" customFormat="false" ht="15" hidden="false" customHeight="false" outlineLevel="0" collapsed="false">
      <c r="A199" s="24"/>
      <c r="B199" s="25"/>
      <c r="C199" s="25"/>
      <c r="D199" s="25"/>
      <c r="E199" s="25"/>
      <c r="F199" s="25"/>
      <c r="G199" s="25"/>
      <c r="H199" s="24"/>
      <c r="I199" s="25"/>
    </row>
    <row r="200" customFormat="false" ht="15" hidden="false" customHeight="false" outlineLevel="0" collapsed="false">
      <c r="A200" s="24"/>
      <c r="B200" s="25"/>
      <c r="C200" s="25"/>
      <c r="D200" s="25"/>
      <c r="E200" s="25"/>
      <c r="F200" s="25"/>
      <c r="G200" s="25"/>
      <c r="H200" s="24"/>
      <c r="I200" s="25"/>
    </row>
    <row r="201" customFormat="false" ht="15" hidden="false" customHeight="false" outlineLevel="0" collapsed="false">
      <c r="A201" s="24"/>
      <c r="B201" s="25"/>
      <c r="C201" s="25"/>
      <c r="D201" s="25"/>
      <c r="E201" s="25"/>
      <c r="F201" s="25"/>
      <c r="G201" s="25"/>
      <c r="H201" s="24"/>
      <c r="I201" s="25"/>
    </row>
    <row r="202" customFormat="false" ht="15" hidden="false" customHeight="false" outlineLevel="0" collapsed="false">
      <c r="A202" s="24"/>
      <c r="B202" s="25"/>
      <c r="C202" s="25"/>
      <c r="D202" s="25"/>
      <c r="E202" s="25"/>
      <c r="F202" s="25"/>
      <c r="G202" s="25"/>
      <c r="H202" s="24"/>
      <c r="I202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40"/>
    <col collapsed="false" customWidth="true" hidden="false" outlineLevel="0" max="6" min="4" style="0" width="14"/>
    <col collapsed="false" customWidth="true" hidden="false" outlineLevel="0" max="7" min="7" style="0" width="11"/>
    <col collapsed="false" customWidth="true" hidden="false" outlineLevel="0" max="9" min="8" style="0" width="40"/>
  </cols>
  <sheetData>
    <row r="1" customFormat="false" ht="45" hidden="false" customHeight="true" outlineLevel="0" collapsed="false">
      <c r="A1" s="12" t="s">
        <v>28</v>
      </c>
      <c r="B1" s="12" t="s">
        <v>332</v>
      </c>
      <c r="C1" s="12" t="s">
        <v>346</v>
      </c>
      <c r="D1" s="12" t="s">
        <v>347</v>
      </c>
      <c r="E1" s="12" t="s">
        <v>348</v>
      </c>
      <c r="F1" s="12" t="s">
        <v>349</v>
      </c>
      <c r="G1" s="12" t="s">
        <v>350</v>
      </c>
      <c r="H1" s="12" t="s">
        <v>351</v>
      </c>
      <c r="I1" s="12" t="s">
        <v>352</v>
      </c>
      <c r="K1" s="17" t="s">
        <v>339</v>
      </c>
    </row>
    <row r="2" customFormat="false" ht="23.85" hidden="false" customHeight="false" outlineLevel="0" collapsed="false">
      <c r="A2" s="23" t="n">
        <v>1</v>
      </c>
      <c r="B2" s="22" t="n">
        <v>46332</v>
      </c>
      <c r="C2" s="23" t="s">
        <v>353</v>
      </c>
      <c r="D2" s="23" t="n">
        <v>60</v>
      </c>
      <c r="E2" s="23" t="n">
        <v>4</v>
      </c>
      <c r="F2" s="23" t="n">
        <v>3</v>
      </c>
      <c r="G2" s="26" t="n">
        <f aca="false">IFERROR(F2/E2,0)</f>
        <v>0.75</v>
      </c>
      <c r="H2" s="23" t="s">
        <v>354</v>
      </c>
      <c r="I2" s="23" t="s">
        <v>355</v>
      </c>
    </row>
    <row r="3" customFormat="false" ht="15" hidden="false" customHeight="false" outlineLevel="0" collapsed="false">
      <c r="A3" s="25"/>
      <c r="B3" s="24"/>
      <c r="C3" s="25"/>
      <c r="D3" s="25"/>
      <c r="E3" s="25"/>
      <c r="F3" s="25"/>
      <c r="G3" s="27" t="n">
        <f aca="false">IFERROR(F3/E3,0)</f>
        <v>0</v>
      </c>
      <c r="H3" s="25"/>
      <c r="I3" s="25"/>
    </row>
    <row r="4" customFormat="false" ht="15" hidden="false" customHeight="false" outlineLevel="0" collapsed="false">
      <c r="A4" s="25"/>
      <c r="B4" s="24"/>
      <c r="C4" s="25"/>
      <c r="D4" s="25"/>
      <c r="E4" s="25"/>
      <c r="F4" s="25"/>
      <c r="G4" s="27" t="n">
        <f aca="false">IFERROR(F4/E4,0)</f>
        <v>0</v>
      </c>
      <c r="H4" s="25"/>
      <c r="I4" s="25"/>
    </row>
    <row r="5" customFormat="false" ht="15" hidden="false" customHeight="false" outlineLevel="0" collapsed="false">
      <c r="A5" s="25"/>
      <c r="B5" s="24"/>
      <c r="C5" s="25"/>
      <c r="D5" s="25"/>
      <c r="E5" s="25"/>
      <c r="F5" s="25"/>
      <c r="G5" s="27" t="n">
        <f aca="false">IFERROR(F5/E5,0)</f>
        <v>0</v>
      </c>
      <c r="H5" s="25"/>
      <c r="I5" s="25"/>
    </row>
    <row r="6" customFormat="false" ht="15" hidden="false" customHeight="false" outlineLevel="0" collapsed="false">
      <c r="A6" s="25"/>
      <c r="B6" s="24"/>
      <c r="C6" s="25"/>
      <c r="D6" s="25"/>
      <c r="E6" s="25"/>
      <c r="F6" s="25"/>
      <c r="G6" s="27" t="n">
        <f aca="false">IFERROR(F6/E6,0)</f>
        <v>0</v>
      </c>
      <c r="H6" s="25"/>
      <c r="I6" s="25"/>
    </row>
    <row r="7" customFormat="false" ht="15" hidden="false" customHeight="false" outlineLevel="0" collapsed="false">
      <c r="A7" s="25"/>
      <c r="B7" s="24"/>
      <c r="C7" s="25"/>
      <c r="D7" s="25"/>
      <c r="E7" s="25"/>
      <c r="F7" s="25"/>
      <c r="G7" s="27" t="n">
        <f aca="false">IFERROR(F7/E7,0)</f>
        <v>0</v>
      </c>
      <c r="H7" s="25"/>
      <c r="I7" s="25"/>
    </row>
    <row r="8" customFormat="false" ht="15" hidden="false" customHeight="false" outlineLevel="0" collapsed="false">
      <c r="A8" s="25"/>
      <c r="B8" s="24"/>
      <c r="C8" s="25"/>
      <c r="D8" s="25"/>
      <c r="E8" s="25"/>
      <c r="F8" s="25"/>
      <c r="G8" s="27" t="n">
        <f aca="false">IFERROR(F8/E8,0)</f>
        <v>0</v>
      </c>
      <c r="H8" s="25"/>
      <c r="I8" s="25"/>
    </row>
    <row r="9" customFormat="false" ht="15" hidden="false" customHeight="false" outlineLevel="0" collapsed="false">
      <c r="A9" s="25"/>
      <c r="B9" s="24"/>
      <c r="C9" s="25"/>
      <c r="D9" s="25"/>
      <c r="E9" s="25"/>
      <c r="F9" s="25"/>
      <c r="G9" s="27" t="n">
        <f aca="false">IFERROR(F9/E9,0)</f>
        <v>0</v>
      </c>
      <c r="H9" s="25"/>
      <c r="I9" s="25"/>
    </row>
    <row r="10" customFormat="false" ht="15" hidden="false" customHeight="false" outlineLevel="0" collapsed="false">
      <c r="A10" s="25"/>
      <c r="B10" s="24"/>
      <c r="C10" s="25"/>
      <c r="D10" s="25"/>
      <c r="E10" s="25"/>
      <c r="F10" s="25"/>
      <c r="G10" s="27" t="n">
        <f aca="false">IFERROR(F10/E10,0)</f>
        <v>0</v>
      </c>
      <c r="H10" s="25"/>
      <c r="I10" s="25"/>
    </row>
    <row r="11" customFormat="false" ht="15" hidden="false" customHeight="false" outlineLevel="0" collapsed="false">
      <c r="A11" s="25"/>
      <c r="B11" s="24"/>
      <c r="C11" s="25"/>
      <c r="D11" s="25"/>
      <c r="E11" s="25"/>
      <c r="F11" s="25"/>
      <c r="G11" s="27" t="n">
        <f aca="false">IFERROR(F11/E11,0)</f>
        <v>0</v>
      </c>
      <c r="H11" s="25"/>
      <c r="I11" s="25"/>
    </row>
    <row r="12" customFormat="false" ht="15" hidden="false" customHeight="false" outlineLevel="0" collapsed="false">
      <c r="A12" s="25"/>
      <c r="B12" s="24"/>
      <c r="C12" s="25"/>
      <c r="D12" s="25"/>
      <c r="E12" s="25"/>
      <c r="F12" s="25"/>
      <c r="G12" s="27" t="n">
        <f aca="false">IFERROR(F12/E12,0)</f>
        <v>0</v>
      </c>
      <c r="H12" s="25"/>
      <c r="I12" s="25"/>
    </row>
    <row r="13" customFormat="false" ht="15" hidden="false" customHeight="false" outlineLevel="0" collapsed="false">
      <c r="A13" s="25"/>
      <c r="B13" s="24"/>
      <c r="C13" s="25"/>
      <c r="D13" s="25"/>
      <c r="E13" s="25"/>
      <c r="F13" s="25"/>
      <c r="G13" s="27" t="n">
        <f aca="false">IFERROR(F13/E13,0)</f>
        <v>0</v>
      </c>
      <c r="H13" s="25"/>
      <c r="I13" s="25"/>
    </row>
    <row r="14" customFormat="false" ht="15" hidden="false" customHeight="false" outlineLevel="0" collapsed="false">
      <c r="A14" s="25"/>
      <c r="B14" s="24"/>
      <c r="C14" s="25"/>
      <c r="D14" s="25"/>
      <c r="E14" s="25"/>
      <c r="F14" s="25"/>
      <c r="G14" s="27" t="n">
        <f aca="false">IFERROR(F14/E14,0)</f>
        <v>0</v>
      </c>
      <c r="H14" s="25"/>
      <c r="I14" s="25"/>
    </row>
    <row r="15" customFormat="false" ht="15" hidden="false" customHeight="false" outlineLevel="0" collapsed="false">
      <c r="A15" s="25"/>
      <c r="B15" s="24"/>
      <c r="C15" s="25"/>
      <c r="D15" s="25"/>
      <c r="E15" s="25"/>
      <c r="F15" s="25"/>
      <c r="G15" s="27" t="n">
        <f aca="false">IFERROR(F15/E15,0)</f>
        <v>0</v>
      </c>
      <c r="H15" s="25"/>
      <c r="I15" s="25"/>
    </row>
    <row r="16" customFormat="false" ht="15" hidden="false" customHeight="false" outlineLevel="0" collapsed="false">
      <c r="A16" s="25"/>
      <c r="B16" s="24"/>
      <c r="C16" s="25"/>
      <c r="D16" s="25"/>
      <c r="E16" s="25"/>
      <c r="F16" s="25"/>
      <c r="G16" s="27" t="n">
        <f aca="false">IFERROR(F16/E16,0)</f>
        <v>0</v>
      </c>
      <c r="H16" s="25"/>
      <c r="I16" s="25"/>
    </row>
    <row r="17" customFormat="false" ht="15" hidden="false" customHeight="false" outlineLevel="0" collapsed="false">
      <c r="A17" s="25"/>
      <c r="B17" s="24"/>
      <c r="C17" s="25"/>
      <c r="D17" s="25"/>
      <c r="E17" s="25"/>
      <c r="F17" s="25"/>
      <c r="G17" s="27" t="n">
        <f aca="false">IFERROR(F17/E17,0)</f>
        <v>0</v>
      </c>
      <c r="H17" s="25"/>
      <c r="I17" s="25"/>
    </row>
    <row r="18" customFormat="false" ht="15" hidden="false" customHeight="false" outlineLevel="0" collapsed="false">
      <c r="A18" s="25"/>
      <c r="B18" s="24"/>
      <c r="C18" s="25"/>
      <c r="D18" s="25"/>
      <c r="E18" s="25"/>
      <c r="F18" s="25"/>
      <c r="G18" s="27" t="n">
        <f aca="false">IFERROR(F18/E18,0)</f>
        <v>0</v>
      </c>
      <c r="H18" s="25"/>
      <c r="I18" s="25"/>
    </row>
    <row r="19" customFormat="false" ht="15" hidden="false" customHeight="false" outlineLevel="0" collapsed="false">
      <c r="A19" s="25"/>
      <c r="B19" s="24"/>
      <c r="C19" s="25"/>
      <c r="D19" s="25"/>
      <c r="E19" s="25"/>
      <c r="F19" s="25"/>
      <c r="G19" s="27" t="n">
        <f aca="false">IFERROR(F19/E19,0)</f>
        <v>0</v>
      </c>
      <c r="H19" s="25"/>
      <c r="I19" s="25"/>
    </row>
    <row r="20" customFormat="false" ht="15" hidden="false" customHeight="false" outlineLevel="0" collapsed="false">
      <c r="A20" s="25"/>
      <c r="B20" s="24"/>
      <c r="C20" s="25"/>
      <c r="D20" s="25"/>
      <c r="E20" s="25"/>
      <c r="F20" s="25"/>
      <c r="G20" s="27" t="n">
        <f aca="false">IFERROR(F20/E20,0)</f>
        <v>0</v>
      </c>
      <c r="H20" s="25"/>
      <c r="I20" s="25"/>
    </row>
    <row r="21" customFormat="false" ht="15" hidden="false" customHeight="false" outlineLevel="0" collapsed="false">
      <c r="A21" s="25"/>
      <c r="B21" s="24"/>
      <c r="C21" s="25"/>
      <c r="D21" s="25"/>
      <c r="E21" s="25"/>
      <c r="F21" s="25"/>
      <c r="G21" s="27" t="n">
        <f aca="false">IFERROR(F21/E21,0)</f>
        <v>0</v>
      </c>
      <c r="H21" s="25"/>
      <c r="I21" s="25"/>
    </row>
    <row r="22" customFormat="false" ht="15" hidden="false" customHeight="false" outlineLevel="0" collapsed="false">
      <c r="A22" s="25"/>
      <c r="B22" s="24"/>
      <c r="C22" s="25"/>
      <c r="D22" s="25"/>
      <c r="E22" s="25"/>
      <c r="F22" s="25"/>
      <c r="G22" s="27" t="n">
        <f aca="false">IFERROR(F22/E22,0)</f>
        <v>0</v>
      </c>
      <c r="H22" s="25"/>
      <c r="I22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2026-10-30T15:23:36Z</dcterms:created>
  <dc:creator>openpyxl</dc:creator>
  <dc:description/>
  <dc:language>en-US</dc:language>
  <cp:lastModifiedBy/>
  <dcterms:modified xsi:type="dcterms:W3CDTF">2026-10-30T15:23:36Z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